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Tutor" sheetId="1" r:id="rId4"/>
    <sheet state="visible" name="RubricExaminer1" sheetId="2" r:id="rId5"/>
    <sheet state="visible" name="RubricExaminer2" sheetId="3" r:id="rId6"/>
    <sheet state="visible" name="RubricExaminer3" sheetId="4" r:id="rId7"/>
    <sheet state="visible" name="DefenseSummary" sheetId="5" r:id="rId8"/>
    <sheet state="visible" name="StudentReport" sheetId="6" r:id="rId9"/>
    <sheet state="visible" name="AssessmentCriteria" sheetId="7" r:id="rId10"/>
    <sheet state="visible" name="Language" sheetId="8" r:id="rId11"/>
  </sheets>
  <definedNames/>
  <calcPr/>
  <extLst>
    <ext uri="GoogleSheetsCustomDataVersion2">
      <go:sheetsCustomData xmlns:go="http://customooxmlschemas.google.com/" r:id="rId12" roundtripDataChecksum="akd2DmvnNW5Jvixj2ZRj0FPtIuXR6+InlAGqMBj+csM="/>
    </ext>
  </extLst>
</workbook>
</file>

<file path=xl/sharedStrings.xml><?xml version="1.0" encoding="utf-8"?>
<sst xmlns="http://schemas.openxmlformats.org/spreadsheetml/2006/main" count="911" uniqueCount="463">
  <si>
    <t>Bachelor's degree in Techniques for Software Application Development</t>
  </si>
  <si>
    <t>2025-1</t>
  </si>
  <si>
    <t>A</t>
  </si>
  <si>
    <t>B</t>
  </si>
  <si>
    <t>C+</t>
  </si>
  <si>
    <t>C-</t>
  </si>
  <si>
    <t>D</t>
  </si>
  <si>
    <t>Nota</t>
  </si>
  <si>
    <t>Final</t>
  </si>
  <si>
    <t>N</t>
  </si>
  <si>
    <t>Actitud del/de la estudiante</t>
  </si>
  <si>
    <t>Actitud de l'estudiant</t>
  </si>
  <si>
    <t>Student's attitude</t>
  </si>
  <si>
    <t>Grado de autonomía, creatividad, iniciativa, receptividad a la crítica, comunicación con el tutor/a</t>
  </si>
  <si>
    <t>Grau d'autonomia, creativitat, iniciativa, receptivitat a la crítica, i bona comunicació amb el tutor/a</t>
  </si>
  <si>
    <t>Autonomy, creativity, initiative, receptivity to criticism, and good communication with the supervisor</t>
  </si>
  <si>
    <t>• El/La estudiante ha trabajado de forma autónoma, demostrando iniciativa y creatividad, minimizando la dependencia del tutor/a para avanzar con el trabajo
• La comunicación con el tutor/a ha sido fluida y el/la estudiante ha tenido una buena receptividad a la crítica 
• El/La estudiante ha sabido discutir las decisiones tomadas con el tutor/a de forma coherente y razonada, demostrando una capacidad de comprender, analizar y solucionar problemas propia del nivel académico o profesional esperado</t>
  </si>
  <si>
    <t>• L'estudiant ha treballat de forma autònoma, demostrant iniciativa i creativitat, minimitzant la dependència del tutor/a per avançar amb el treball
• La comunicació amb el tutor/a ha estat fluïda i l'estudiant ha tingut una bona receptivitat a la crítica
• L'estudiant ha sabut discutir les decisions preses amb el tutor/a de forma coherent i raonada, demostrant una capacitat de comprendre, analitzar i solucionar problemes pròpis del nivell acadèmic o professional esperat</t>
  </si>
  <si>
    <t>• The student has worked autonomously, showing initiative and creativity, minimizing dependency on the supervisor to advance with the project
• Communication with the supervisor has been fluent and the student has had a good receptivity to criticism
• The student has discussed with the supervisor the decisions made in a coherent and reasoned manner, demonstrating an ability to understand, analyze and solve problems typical of the expected academic or professional level</t>
  </si>
  <si>
    <t>• El/La estudiante ha trabajado de forma autónoma en gran medida, demostrando cierta iniciativa y algo de creatividad
• La comunicación con el tutor/a ha sido fluida y el/la estudiante ha tenido una buena receptividad a la crítica 
• El/La estudiante ha sabido discutir las decisiones tomadas con el tutor/a de forma coherente y razonada, demostrando una capacidad de comprender, analizar y solucionar problemas propia del nivel académico o profesional esperado</t>
  </si>
  <si>
    <t>• L'estudiant ha treballat de forma autònoma en gran mesura, demostrant certa iniciativa i una mica de creativitat
• La comunicació amb el tutor/a ha estat fluïda i l'estudiant ha tingut una bona receptivitat a la crítica
• L'estudiant ha sabut discutir les decisions preses amb el tutor/a de forma coherent i raonada, demostrant una capacitat de comprendre, analitzar i solucionar problemes pròpia del nivell acadèmic o professional esperat</t>
  </si>
  <si>
    <t>• The student has worked autonomously to a great extent, showing some initiative and some creativity
• Communication with the supervisor has been fluent and the student has had a good receptivity to criticism
• The student has discussed the decisions made with the supervisor in a coherent and reasoned manner, demonstrating an ability to understand, analyze and solve problems typical of the expected academic or professional level</t>
  </si>
  <si>
    <t>• El/La estudiante ha sido algo dependiente del tutor/a, demostrando cierta iniciativa y algo de creatividad
• La comunicación con el tutor/a ha sido fluida y el/la estudiante ha tenido una buena receptividad a la crítica 
• Aunque no siempre, en general, el/la estudiante ha sabido discutir las decisiones tomadas con el tutor/a de forma coherente y razonada, demostrando una capacidad de comprender, analizar y solucionar problemas propia del nivel académico o profesional esperado. Hay espacio para mejorar</t>
  </si>
  <si>
    <t>• L'estudiant ha estat una mica depenent de el tutor/a, demostrant certa iniciativa i una mica de creativitat
• La comunicació amb el tutor/a ha estat fluïda i l'estudiant ha tingut una bona receptivitat a la crítica
• Encara que no sempre, en general, l'estudiant ha sabut discutir les decisions preses amb el tutor/a de forma coherent i raonada, demostrant una capacitat de comprendre, analitzar i solucionar problemes pròpia del nivell acadèmic o professional esperat. Hi ha espai per millorar</t>
  </si>
  <si>
    <t>• The student has been somehow dependent on the supervisor, showing some initiative and some creativity
• Communication with the supervisor has been fluid and the student has had a good receptivity to criticism
• Although not always, in general, the student has been able to discuss the decisions made with the supervisor in a coherent and reasoned manner, demonstrating an ability to understand, analyze and solve problems typical of the expected academic or professional level. There is room for improvement</t>
  </si>
  <si>
    <t>Alguna de las siguientes afirmaciones describen al/a la estudiante: 
• El/La estudiante ha tenido una gran dependencia del tutor/a, sin demostrar iniciativa o creatividad
• La comunicación con el tutor/a no ha sido fluida y al/a la estudiante le cuesta aceptar la crítica
• El/La estudiante no ha sabido discutir las decisiones tomadas de forma coherente y razonada
• El/La estudiante no demuestra una capacidad de solucionar problemas propios del nivel académico o profesional esperado</t>
  </si>
  <si>
    <t>Alguna de les següents afirmacions descriuen a l'estudiant:
• L'estudiant ha tingut una gran dependència de tutor/a, sense demostrar iniciativa o creativitat
• La comunicació amb el tutor/a no ha estat fluida i a l'estudiant li costa acceptar la crítica
• L'estudiant no ha sabut discutir les decisions preses de forma coherent i raonada
• L'estudiant no demostra una capacitat de solucionar problemes propis del nivell acadèmic o professional esperat</t>
  </si>
  <si>
    <t>One or more of the following statements describe the student:
• The student has had a great dependency on the supervisor, without showing initiative or creativity
• Communication with the supervisor has not been fluent and the student finds it difficult to accept criticism
• The student has not shown the ability to discuss the decisions made in a coherent and reasoned way
• The student does not demonstrate the ability to solve problems of the expected academic or professional level</t>
  </si>
  <si>
    <t>Todas las afirmaciones que se exponen a continuación describen al/a la estudiante:
• El/La estudiante ha tenido una gran dependencia del tutor/a, sin demostrar iniciativa o creatividad
• La comunicación con el tutor/a no ha sido fluida y al/a la estudiante le cuesta aceptar la crítica 
• El/La estudiante no ha sabido discutir las decisiones tomadas de forma coherente y razonada
• El/La estudiante no  demuestra una capacidad de solucionar problemas propios del nivel académico o profesional esperado</t>
  </si>
  <si>
    <t>Totes les afirmacions que s'exposen a continuació descriuen a l'estudiant:
• L'estudiant ha tingut una gran dependència de tutor/a, sense demostrar iniciativa o creativitat
• La comunicació amb el tutor/a no ha estat fluida i a l'estudiant li costa acceptar la crítica
• L'estudiant no ha sabut discutir les decisions preses de forma coherent i raonada.
• L'estudiant no demostra una capacitat de solucionar problemes propis del nivell acadèmic o professional esperat</t>
  </si>
  <si>
    <t>All of the statements below describe the student:
• The student has had a great dependency on the supervisor, without showing initiative or creativity
• Communication with the supervisor has not been fluent and the student finds it difficult to accept criticism
• The student has not shown the ability to discuss the decisions made in a coherent and reasoned way
• The student does not demonstrate the ability to solve problems of the expected academic or professional level</t>
  </si>
  <si>
    <t>Aspectos metodológicos</t>
  </si>
  <si>
    <t>Aspectes metodològics</t>
  </si>
  <si>
    <t>Methodological aspects</t>
  </si>
  <si>
    <t>Definición de unos objetivos claros, concretos, realistas y adecuados</t>
  </si>
  <si>
    <t>Definició d'uns objectius clars, concrets, realistes i adequats</t>
  </si>
  <si>
    <t>Definition of clear, specific, realistic and adequate objectives</t>
  </si>
  <si>
    <t>• Los objetivos son adecuados al contexto del trabajo
• Cada objetivo es claro y evaluable
• Los objetivos son realistas
• Los objetivos están priorizados</t>
  </si>
  <si>
    <t>• Els objectius són adequats al context del treball
• Cada objectiu és clar i avaluable
• Els objectius són realistes
• Els objectius estan prioritzats</t>
  </si>
  <si>
    <t>• The objectives are appropriate to the context of the project
• Each objective is clear and measurable
• The objectives are realistic
• The objectives have been assigned a priority level</t>
  </si>
  <si>
    <t>Los objetivos son adecuados al contexto del trabajo y responden a la mayoría de los siguientes puntos, pero no todos:
• Cada objetivo es claro y evaluable
• Los objetivos son realistas
• Los objetivos están priorizados</t>
  </si>
  <si>
    <t>Els objectius són adequats al context del treball i responen a la majoria dels següents punts, però no tots:
• Cada objectiu és clar i avaluable
• Els objectius són realistes
• Els objectius estan prioritzats</t>
  </si>
  <si>
    <t>The objectives are appropriate to the context of the work and answer most of the following points, but not all:
• Each objective is clear and measurable
• The objectives are realistic
• The objectives have been assigned a priority level</t>
  </si>
  <si>
    <t>Los objetivos son adecuados al contexto del trabajo, pero no responden a la mayoría de los siguientes puntos:
• Cada objetivo es claro y evaluable
• Los objetivos son realistas
• Los objetivos están priorizados</t>
  </si>
  <si>
    <t>Els objectius són adequats al context del treball, però no responen a la majoria dels següents punts:
• Cada objectiu és clar i avaluable
• Els objectius són realistes
• Els objectius estan prioritzats</t>
  </si>
  <si>
    <t>The objectives are appropriate to the context of the work, but do not respond to most of the following points:
• Each objective is clear and measurable
• The objectives are realistic
• The objectives have been assigned a priority level</t>
  </si>
  <si>
    <t>• Alguno de los objetivos definidos no es pertinente en el contexto del trabajo
• Varios de los objetivos definidos no son claros ni evaluables</t>
  </si>
  <si>
    <t>• Algun dels objectius definits no és pertinent en el context del treball
• Diversos dels objectius definits no són clars ni avaluables</t>
  </si>
  <si>
    <t>• Some of the defined objectives are not relevant in the context of the work
• Several of the defined objectives are not clear or measurable</t>
  </si>
  <si>
    <r>
      <rPr>
        <rFont val="Calibri"/>
        <color theme="1"/>
        <sz val="11.0"/>
      </rPr>
      <t xml:space="preserve">• </t>
    </r>
    <r>
      <rPr>
        <rFont val="Calibri"/>
        <color theme="1"/>
        <sz val="11.0"/>
        <u/>
      </rPr>
      <t>No</t>
    </r>
    <r>
      <rPr>
        <rFont val="Calibri"/>
        <color rgb="FF000000"/>
        <sz val="11.0"/>
      </rPr>
      <t xml:space="preserve"> se ha definido una lista de objetivos, o los objetivos no son adecuados en el contexto del trabajo</t>
    </r>
  </si>
  <si>
    <r>
      <rPr>
        <rFont val="Calibri"/>
        <color theme="1"/>
        <sz val="11.0"/>
      </rPr>
      <t xml:space="preserve">• </t>
    </r>
    <r>
      <rPr>
        <rFont val="Calibri"/>
        <color theme="1"/>
        <sz val="11.0"/>
        <u/>
      </rPr>
      <t>No</t>
    </r>
    <r>
      <rPr>
        <rFont val="Calibri"/>
        <color rgb="FF000000"/>
        <sz val="11.0"/>
      </rPr>
      <t xml:space="preserve"> s'ha definit una llista d'objectius, o els objectius no són adequats en el context del treball</t>
    </r>
  </si>
  <si>
    <r>
      <rPr>
        <rFont val="Calibri"/>
        <color theme="1"/>
        <sz val="11.0"/>
      </rPr>
      <t xml:space="preserve">• A list of objectives </t>
    </r>
    <r>
      <rPr>
        <rFont val="Calibri"/>
        <color theme="1"/>
        <sz val="11.0"/>
        <u/>
      </rPr>
      <t>has not</t>
    </r>
    <r>
      <rPr>
        <rFont val="Calibri"/>
        <color rgb="FF000000"/>
        <sz val="11.0"/>
      </rPr>
      <t xml:space="preserve"> been defined, or the objectives are not appropriate in the context of the project</t>
    </r>
  </si>
  <si>
    <t>Definición de la metodología, planificación temporal y de recursos</t>
  </si>
  <si>
    <t>Definició de la metodologia, planificació temporal i de recursos</t>
  </si>
  <si>
    <t>Methodology, schedule and resource planning</t>
  </si>
  <si>
    <t>• Se ha escogido una metodología adecuada para alcanzar los objetivos propuestos. Se ha adaptado la metodología a las necesidades del proyecto
• Se han identificado las tareas necesarias para conseguir los objetivos propuestos
• La duración estimada para cada tarea es adecuada
• La planificación global del trabajo es realista
• Se ha tenido en cuenta el nivel de conocimiento y experiencia al establecer la duración de las tareas
• El calendario tiene en cuenta la dedicación esperada, la disponibilidad de recursos y las fechas especiales del calendario (festivos, puentes, vacaciones,...)
• Se incluye un diagrama de Gantt o similar
• Si es apropiado, se han detallado los costes económicos asociados
• La planificación considera explícitamente las actividades pertinentes de carácter no técnico (redacción de la memoria, elaboración de la presentación,...)
• Se ha hecho un análisis de riesgos que tenga en cuenta de forma exhaustiva posibles eventualidades surgidas al desarrollar el proyecto, así como establecer medidas mitigadoras y correctivas adecuadas</t>
  </si>
  <si>
    <t>• S'ha escollit una metodologia adequada per assolir els objectius proposats. S'ha adaptat la metodologia a les necessitats del projecte
• S'han identificat les tasques necessàries per aconseguir els objectius proposats
• La durada estimada per a cada tasca és adequada
• La planificació global del treball és realista
• S'ha tingut en compte el nivell de coneixement i experiència a l'establir la durada de les tasques
• El calendari té en compte la dedicació esperada, la disponibilitat de recursos i les dates especials del calendari (festius, ponts, vacances, ...)
• S'inclou un diagrama de Gantt o similar
• Si és apropiat, s'han detallat els costos econòmics associats
• La planificació considera explícitament les activitats pertinents de caràcter no tècnic (redacció de la memòria, elaboració de la presentació, ...)
• S'ha fet una anàlisi de riscos que tingui en compte de manera exhaustiva possibles eventualitats sorgides al desenvolupar el projecte, així com establir mesures mitigadores i correctives adequades</t>
  </si>
  <si>
    <t>• An appropriate methodology has been chosen to achieve the proposed objectives. The methodology has been adapted to the needs of the project
• The tasks necessary to achieve the proposed objectives have been identified
• The estimated duration for each task is appropriate
• The overall work planning is realistic
• The level of knowledge and experience has been taken into account when establishing the duration of the tasks
• The schedule takes into account the expected dedication, the availability of resources and the special dates of the calendar (e.g. holidays)
• A Gantt chart or similar is included
• If appropriate, the associated economic costs have been detailed
• The planning explicitly considers the pertinent activities of a non-technical nature (e.g. writing the report, preparing the presentation)
• A risk analysis has been carried out that exhaustively takes into account possible contingencies that may arise when developing the project, as well as establishing appropriate mitigating and corrective measures</t>
  </si>
  <si>
    <r>
      <rPr>
        <rFont val="Calibri"/>
        <color theme="1"/>
        <sz val="11.0"/>
      </rPr>
      <t xml:space="preserve">• Se ha escogido una metodología adecuada para alcanzar los objetivos propuestos. </t>
    </r>
    <r>
      <rPr>
        <rFont val="Calibri"/>
        <color theme="1"/>
        <sz val="11.0"/>
        <u/>
      </rPr>
      <t>No se ha especificado cómo se adaptará la metodología a las necesidades del proyecto</t>
    </r>
    <r>
      <rPr>
        <rFont val="Calibri"/>
        <color rgb="FF000000"/>
        <sz val="11.0"/>
      </rPr>
      <t xml:space="preserve">
• Se han identificado las tareas necesarias para conseguir los objetivos propuestos
• La duración estimada para cada tarea es adecuada
• La planificación es realista
• Se ha tenido en cuenta el nivel de conocimiento y experiencia al establecer la duración de las tareas
• El </t>
    </r>
    <r>
      <rPr>
        <rFont val="Calibri"/>
        <color theme="1"/>
        <sz val="11.0"/>
        <u/>
      </rPr>
      <t>calendario establecido es mejorable</t>
    </r>
    <r>
      <rPr>
        <rFont val="Calibri"/>
        <color rgb="FF000000"/>
        <sz val="11.0"/>
      </rPr>
      <t xml:space="preserve"> ya que no tiene en cuenta la dedicación esperada, la disponibilidad de recursos o las fechas especiales del calendario (festivos, puentes, vacaciones,...)
• Se incluye un diagrama de Gantt o similar
• Si es apropiado, se han detallado los costes económicos asociados
• La planificación considera explícitamente las actividades pertinentes de carácter no técnico (redacción de la memoria, elaboración de la presentación,...)
• Siendo necesario, </t>
    </r>
    <r>
      <rPr>
        <rFont val="Calibri"/>
        <color theme="1"/>
        <sz val="11.0"/>
        <u/>
      </rPr>
      <t>no se ha hecho un análisis de riesgos</t>
    </r>
    <r>
      <rPr>
        <rFont val="Calibri"/>
        <color rgb="FF000000"/>
        <sz val="11.0"/>
      </rPr>
      <t xml:space="preserve"> adecuado que tenga en cuenta de forma exhaustiva posibles eventualidades surgidas al desarrollar el proyecto</t>
    </r>
  </si>
  <si>
    <r>
      <rPr>
        <rFont val="Calibri"/>
        <color theme="1"/>
        <sz val="11.0"/>
      </rPr>
      <t xml:space="preserve">• S'ha escollit una metodologia adequada per assolir els objectius proposats. </t>
    </r>
    <r>
      <rPr>
        <rFont val="Calibri"/>
        <color theme="1"/>
        <sz val="11.0"/>
        <u/>
      </rPr>
      <t>No s'ha especificat com s'adaptarà la metodologia a les necessitats del projecte</t>
    </r>
    <r>
      <rPr>
        <rFont val="Calibri"/>
        <color rgb="FF000000"/>
        <sz val="11.0"/>
      </rPr>
      <t xml:space="preserve">
• S'han identificat les tasques necessàries per aconseguir els objectius proposats
• La durada estimada per a cada tasca és adequada
• La planificació és realista
• S'ha tingut en compte el nivell de coneixement i experiència a l'establir la durada de les tasques
• El </t>
    </r>
    <r>
      <rPr>
        <rFont val="Calibri"/>
        <color theme="1"/>
        <sz val="11.0"/>
        <u/>
      </rPr>
      <t>calendari establert és millorable</t>
    </r>
    <r>
      <rPr>
        <rFont val="Calibri"/>
        <color rgb="FF000000"/>
        <sz val="11.0"/>
      </rPr>
      <t xml:space="preserve"> ja que no té en compte la dedicació esperada, la disponibilitat de recursos o les dates especials del calendari (festius, ponts, vacances, ...)
• S'inclou un diagrama de Gantt o similar
• Si és apropiat, s'han detallat els costos econòmics associats
• La planificació considera explícitament les activitats pertinents de caràcter no tècnic (redacció de la memòria, elaboració de la presentació, ...)
• Sent necessari,</t>
    </r>
    <r>
      <rPr>
        <rFont val="Calibri"/>
        <color theme="1"/>
        <sz val="11.0"/>
        <u/>
      </rPr>
      <t xml:space="preserve"> no s'ha fet una anàlisi de riscos</t>
    </r>
    <r>
      <rPr>
        <rFont val="Calibri"/>
        <color rgb="FF000000"/>
        <sz val="11.0"/>
      </rPr>
      <t xml:space="preserve"> adequat que tingui en compte de manera exhaustiva possibles eventualitats sorgides al desenvolupar el projecte</t>
    </r>
  </si>
  <si>
    <r>
      <rPr>
        <rFont val="Calibri"/>
        <color theme="1"/>
        <sz val="11.0"/>
      </rPr>
      <t xml:space="preserve">• An appropriate methodology has been chosen to achieve the proposed objectives. </t>
    </r>
    <r>
      <rPr>
        <rFont val="Calibri"/>
        <color theme="1"/>
        <sz val="11.0"/>
        <u/>
      </rPr>
      <t>It has not been specified how the methodology will be adapted to the needs of the project</t>
    </r>
    <r>
      <rPr>
        <rFont val="Calibri"/>
        <color rgb="FF000000"/>
        <sz val="11.0"/>
      </rPr>
      <t xml:space="preserve">
• The tasks necessary to achieve the proposed objectives have been identified.
• The estimated duration for each task is appropriate
• Planning is realistic
• The level of knowledge and experience has been taken into account when establishing the duration of the tasks
• The established </t>
    </r>
    <r>
      <rPr>
        <rFont val="Calibri"/>
        <color theme="1"/>
        <sz val="11.0"/>
        <u/>
      </rPr>
      <t>schedule can be improved</t>
    </r>
    <r>
      <rPr>
        <rFont val="Calibri"/>
        <color rgb="FF000000"/>
        <sz val="11.0"/>
      </rPr>
      <t xml:space="preserve"> since it does not take into account the expected dedication, the availability of resources or the special dates of the calendar (e.g. holidays)
• A Gantt chart or similar is included
• If appropriate, the associated economic costs have been detailed
• The planning explicitly considers the pertinent activities of a non-technical nature (e.g. writing the report, preparing the presentation)
• Being necessary, an adequate </t>
    </r>
    <r>
      <rPr>
        <rFont val="Calibri"/>
        <color theme="1"/>
        <sz val="11.0"/>
        <u/>
      </rPr>
      <t>risk analysis has not been carried out</t>
    </r>
    <r>
      <rPr>
        <rFont val="Calibri"/>
        <color rgb="FF000000"/>
        <sz val="11.0"/>
      </rPr>
      <t xml:space="preserve"> that exhaustively takes into account possible contingencies that may arise when developing the project.</t>
    </r>
  </si>
  <si>
    <r>
      <rPr>
        <rFont val="Calibri"/>
        <color theme="1"/>
        <sz val="11.0"/>
      </rPr>
      <t xml:space="preserve">• Se ha escogido una </t>
    </r>
    <r>
      <rPr>
        <rFont val="Calibri"/>
        <color theme="1"/>
        <sz val="11.0"/>
        <u/>
      </rPr>
      <t>metodología mínimamente adecuada</t>
    </r>
    <r>
      <rPr>
        <rFont val="Calibri"/>
        <color rgb="FF000000"/>
        <sz val="11.0"/>
      </rPr>
      <t xml:space="preserve"> para alcanzar los objetivos propuestos
• Se han </t>
    </r>
    <r>
      <rPr>
        <rFont val="Calibri"/>
        <color theme="1"/>
        <sz val="11.0"/>
        <u/>
      </rPr>
      <t>identificado las tareas básicas</t>
    </r>
    <r>
      <rPr>
        <rFont val="Calibri"/>
        <color rgb="FF000000"/>
        <sz val="11.0"/>
      </rPr>
      <t xml:space="preserve"> para conseguir los objetivos propuestos
• La planificación es realista
• Se incluye un </t>
    </r>
    <r>
      <rPr>
        <rFont val="Calibri"/>
        <color theme="1"/>
        <sz val="11.0"/>
        <u/>
      </rPr>
      <t>diagrama de Gantt</t>
    </r>
    <r>
      <rPr>
        <rFont val="Calibri"/>
        <color rgb="FF000000"/>
        <sz val="11.0"/>
      </rPr>
      <t xml:space="preserve"> o similar</t>
    </r>
  </si>
  <si>
    <r>
      <rPr>
        <rFont val="Calibri"/>
        <color theme="1"/>
        <sz val="11.0"/>
      </rPr>
      <t xml:space="preserve">• S'ha escollit una </t>
    </r>
    <r>
      <rPr>
        <rFont val="Calibri"/>
        <color theme="1"/>
        <sz val="11.0"/>
        <u/>
      </rPr>
      <t>metodologia mínimament adequada</t>
    </r>
    <r>
      <rPr>
        <rFont val="Calibri"/>
        <color rgb="FF000000"/>
        <sz val="11.0"/>
      </rPr>
      <t xml:space="preserve"> per assolir els objectius proposats
• S'han </t>
    </r>
    <r>
      <rPr>
        <rFont val="Calibri"/>
        <color theme="1"/>
        <sz val="11.0"/>
        <u/>
      </rPr>
      <t>identificat les tasques bàsiques</t>
    </r>
    <r>
      <rPr>
        <rFont val="Calibri"/>
        <color rgb="FF000000"/>
        <sz val="11.0"/>
      </rPr>
      <t xml:space="preserve"> per aconseguir els objectius proposats
• La planificació és realista
• S'inclou un </t>
    </r>
    <r>
      <rPr>
        <rFont val="Calibri"/>
        <color theme="1"/>
        <sz val="11.0"/>
        <u/>
      </rPr>
      <t>diagrama de Gantt</t>
    </r>
    <r>
      <rPr>
        <rFont val="Calibri"/>
        <color rgb="FF000000"/>
        <sz val="11.0"/>
      </rPr>
      <t xml:space="preserve"> o similar</t>
    </r>
  </si>
  <si>
    <r>
      <rPr>
        <rFont val="Calibri"/>
        <color theme="1"/>
        <sz val="11.0"/>
      </rPr>
      <t xml:space="preserve">• A </t>
    </r>
    <r>
      <rPr>
        <rFont val="Calibri"/>
        <color theme="1"/>
        <sz val="11.0"/>
        <u/>
      </rPr>
      <t>minimally adequate methodology</t>
    </r>
    <r>
      <rPr>
        <rFont val="Calibri"/>
        <color rgb="FF000000"/>
        <sz val="11.0"/>
      </rPr>
      <t xml:space="preserve"> has been chosen to achieve the proposed objectives
• The </t>
    </r>
    <r>
      <rPr>
        <rFont val="Calibri"/>
        <color theme="1"/>
        <sz val="11.0"/>
        <u/>
      </rPr>
      <t>basic tasks have been identified</t>
    </r>
    <r>
      <rPr>
        <rFont val="Calibri"/>
        <color rgb="FF000000"/>
        <sz val="11.0"/>
      </rPr>
      <t xml:space="preserve"> to achieve the proposed objectives
• Schedule is realistic
• A </t>
    </r>
    <r>
      <rPr>
        <rFont val="Calibri"/>
        <color theme="1"/>
        <sz val="11.0"/>
        <u/>
      </rPr>
      <t>Gantt chart</t>
    </r>
    <r>
      <rPr>
        <rFont val="Calibri"/>
        <color rgb="FF000000"/>
        <sz val="11.0"/>
      </rPr>
      <t xml:space="preserve"> or similar is included</t>
    </r>
  </si>
  <si>
    <t>• Se ha escogido una metodología mínimamente adecuada para alcanzar los objetivos propuestos
• Se han identificado las tareas básicas para conseguir los objetivos propuestos
• No se ha hecho una planificación de tareas</t>
  </si>
  <si>
    <t>• S'ha escollit una metodologia mínimament adequada per assolir els objectius proposats
• S'han identificat les tasques bàsiques per aconseguir els objectius proposats
• No s'ha fet una planificació de tasques</t>
  </si>
  <si>
    <r>
      <rPr>
        <rFont val="Calibri"/>
        <color theme="1"/>
        <sz val="11.0"/>
      </rPr>
      <t xml:space="preserve">• A minimally adequate methodology has been chosen to achieve the proposed objectives.
• The basic tasks have been identified to achieve the proposed objectives
• </t>
    </r>
    <r>
      <rPr>
        <rFont val="Calibri"/>
        <color theme="1"/>
        <sz val="11.0"/>
        <u/>
      </rPr>
      <t>Task planning has not been done</t>
    </r>
  </si>
  <si>
    <r>
      <rPr>
        <rFont val="Calibri"/>
        <color theme="1"/>
        <sz val="11.0"/>
      </rPr>
      <t xml:space="preserve">• </t>
    </r>
    <r>
      <rPr>
        <rFont val="Calibri"/>
        <color theme="1"/>
        <sz val="11.0"/>
        <u/>
      </rPr>
      <t>No se ha escogido una metodología mínimamente adecuada</t>
    </r>
    <r>
      <rPr>
        <rFont val="Calibri"/>
        <color rgb="FF000000"/>
        <sz val="11.0"/>
      </rPr>
      <t xml:space="preserve"> para alcanzar los objetivos propuestos
• </t>
    </r>
    <r>
      <rPr>
        <rFont val="Calibri"/>
        <color theme="1"/>
        <sz val="11.0"/>
        <u/>
      </rPr>
      <t>No se han identificado las tareas básicas</t>
    </r>
    <r>
      <rPr>
        <rFont val="Calibri"/>
        <color rgb="FF000000"/>
        <sz val="11.0"/>
      </rPr>
      <t xml:space="preserve"> para conseguir los objetivos propuestos</t>
    </r>
  </si>
  <si>
    <r>
      <rPr>
        <rFont val="Calibri"/>
        <color theme="1"/>
        <sz val="11.0"/>
      </rPr>
      <t xml:space="preserve">• </t>
    </r>
    <r>
      <rPr>
        <rFont val="Calibri"/>
        <color theme="1"/>
        <sz val="11.0"/>
        <u/>
      </rPr>
      <t>No s'ha escollit una metodologia mínimament adequada</t>
    </r>
    <r>
      <rPr>
        <rFont val="Calibri"/>
        <color rgb="FF000000"/>
        <sz val="11.0"/>
      </rPr>
      <t xml:space="preserve"> per assolir els objectius proposats
• </t>
    </r>
    <r>
      <rPr>
        <rFont val="Calibri"/>
        <color theme="1"/>
        <sz val="11.0"/>
        <u/>
      </rPr>
      <t>No s'han identificat les tasques bàsiques</t>
    </r>
    <r>
      <rPr>
        <rFont val="Calibri"/>
        <color rgb="FF000000"/>
        <sz val="11.0"/>
      </rPr>
      <t xml:space="preserve"> per aconseguir els objectius proposats</t>
    </r>
  </si>
  <si>
    <r>
      <rPr>
        <rFont val="Calibri"/>
        <color theme="1"/>
        <sz val="11.0"/>
      </rPr>
      <t xml:space="preserve">• A </t>
    </r>
    <r>
      <rPr>
        <rFont val="Calibri"/>
        <color theme="1"/>
        <sz val="11.0"/>
        <u/>
      </rPr>
      <t>minimally adequate methodology has not been chosen</t>
    </r>
    <r>
      <rPr>
        <rFont val="Calibri"/>
        <color rgb="FF000000"/>
        <sz val="11.0"/>
      </rPr>
      <t xml:space="preserve"> to achieve the proposed objectives
• The </t>
    </r>
    <r>
      <rPr>
        <rFont val="Calibri"/>
        <color theme="1"/>
        <sz val="11.0"/>
        <u/>
      </rPr>
      <t>basic tasks to achieve the proposed objectives have not been identified</t>
    </r>
  </si>
  <si>
    <t>Especificación y diseño</t>
  </si>
  <si>
    <t>Especificació i disseny</t>
  </si>
  <si>
    <t>Specification and design</t>
  </si>
  <si>
    <t>Estudio previo e identificación de los aspectos relevantes del problema y de su solución (e.g. estado del arte, estudio de mercado)</t>
  </si>
  <si>
    <t>Estudi previ i identificació dels aspectes rellevants del problema i de la seva solució (e.g. estat de l'art, estudi de mercat)</t>
  </si>
  <si>
    <t>Perliminary study and identification of relevant aspects of the problem and its solution (e.g. state of the art, market study)</t>
  </si>
  <si>
    <r>
      <rPr>
        <rFont val="Calibri"/>
        <color theme="1"/>
        <sz val="11.0"/>
      </rPr>
      <t xml:space="preserve">• Se identifican </t>
    </r>
    <r>
      <rPr>
        <rFont val="Calibri"/>
        <color theme="1"/>
        <sz val="11.0"/>
        <u/>
      </rPr>
      <t xml:space="preserve">todos </t>
    </r>
    <r>
      <rPr>
        <rFont val="Calibri"/>
        <color rgb="FF000000"/>
        <sz val="11.0"/>
      </rPr>
      <t xml:space="preserve">los aspectos relevantes del problema
• Se evalúan </t>
    </r>
    <r>
      <rPr>
        <rFont val="Calibri"/>
        <color theme="1"/>
        <sz val="11.0"/>
        <u/>
      </rPr>
      <t xml:space="preserve">diversas </t>
    </r>
    <r>
      <rPr>
        <rFont val="Calibri"/>
        <color rgb="FF000000"/>
        <sz val="11.0"/>
      </rPr>
      <t xml:space="preserve">alternativas para solucionarlo
• Se estudian </t>
    </r>
    <r>
      <rPr>
        <rFont val="Calibri"/>
        <color theme="1"/>
        <sz val="11.0"/>
        <u/>
      </rPr>
      <t>en profundidad</t>
    </r>
    <r>
      <rPr>
        <rFont val="Calibri"/>
        <color rgb="FF000000"/>
        <sz val="11.0"/>
      </rPr>
      <t xml:space="preserve"> otros trabajos o soluciones propuestas por otros autores para encarar el problema planteado. Entre ellos se han tenido en cuenta los </t>
    </r>
    <r>
      <rPr>
        <rFont val="Calibri"/>
        <color theme="1"/>
        <sz val="11.0"/>
        <u/>
      </rPr>
      <t>trabajos más actuales y más relevantes</t>
    </r>
    <r>
      <rPr>
        <rFont val="Calibri"/>
        <color rgb="FF000000"/>
        <sz val="11.0"/>
      </rPr>
      <t xml:space="preserve"> dentro del área de estudio
• Se describe una </t>
    </r>
    <r>
      <rPr>
        <rFont val="Calibri"/>
        <color theme="1"/>
        <sz val="11.0"/>
        <u/>
      </rPr>
      <t>solución adecuada</t>
    </r>
    <r>
      <rPr>
        <rFont val="Calibri"/>
        <color rgb="FF000000"/>
        <sz val="11.0"/>
      </rPr>
      <t xml:space="preserve"> al problema planteado</t>
    </r>
  </si>
  <si>
    <r>
      <rPr>
        <rFont val="Calibri"/>
        <color theme="1"/>
        <sz val="11.0"/>
      </rPr>
      <t xml:space="preserve">• S'identifiquen </t>
    </r>
    <r>
      <rPr>
        <rFont val="Calibri"/>
        <color theme="1"/>
        <sz val="11.0"/>
        <u/>
      </rPr>
      <t xml:space="preserve">tots </t>
    </r>
    <r>
      <rPr>
        <rFont val="Calibri"/>
        <color rgb="FF000000"/>
        <sz val="11.0"/>
      </rPr>
      <t xml:space="preserve">els aspectes rellevants del problema
• S'avaluen </t>
    </r>
    <r>
      <rPr>
        <rFont val="Calibri"/>
        <color theme="1"/>
        <sz val="11.0"/>
        <u/>
      </rPr>
      <t>diverses</t>
    </r>
    <r>
      <rPr>
        <rFont val="Calibri"/>
        <color rgb="FF000000"/>
        <sz val="11.0"/>
      </rPr>
      <t xml:space="preserve"> alternatives per solucionar el problema
• S'estudien </t>
    </r>
    <r>
      <rPr>
        <rFont val="Calibri"/>
        <color theme="1"/>
        <sz val="11.0"/>
        <u/>
      </rPr>
      <t>en profunditat</t>
    </r>
    <r>
      <rPr>
        <rFont val="Calibri"/>
        <color rgb="FF000000"/>
        <sz val="11.0"/>
      </rPr>
      <t xml:space="preserve"> altres treballs o solucions proposades per altres autors per encarar el problema plantejat. Entre ells s'han tingut en compte els </t>
    </r>
    <r>
      <rPr>
        <rFont val="Calibri"/>
        <color theme="1"/>
        <sz val="11.0"/>
        <u/>
      </rPr>
      <t>treballs més actuals i més rellevants</t>
    </r>
    <r>
      <rPr>
        <rFont val="Calibri"/>
        <color rgb="FF000000"/>
        <sz val="11.0"/>
      </rPr>
      <t xml:space="preserve"> dins l'àrea d'estudi
• Es descriu una </t>
    </r>
    <r>
      <rPr>
        <rFont val="Calibri"/>
        <color theme="1"/>
        <sz val="11.0"/>
        <u/>
      </rPr>
      <t>solució adequada</t>
    </r>
    <r>
      <rPr>
        <rFont val="Calibri"/>
        <color rgb="FF000000"/>
        <sz val="11.0"/>
      </rPr>
      <t xml:space="preserve"> al problema plantejat</t>
    </r>
  </si>
  <si>
    <r>
      <rPr>
        <rFont val="Calibri"/>
        <color theme="1"/>
        <sz val="11.0"/>
      </rPr>
      <t xml:space="preserve">• </t>
    </r>
    <r>
      <rPr>
        <rFont val="Calibri"/>
        <color theme="1"/>
        <sz val="11.0"/>
        <u/>
      </rPr>
      <t xml:space="preserve">All </t>
    </r>
    <r>
      <rPr>
        <rFont val="Calibri"/>
        <color rgb="FF000000"/>
        <sz val="11.0"/>
      </rPr>
      <t xml:space="preserve">relevant aspects of the problem have been identified
• </t>
    </r>
    <r>
      <rPr>
        <rFont val="Calibri"/>
        <color theme="1"/>
        <sz val="11.0"/>
        <u/>
      </rPr>
      <t>Several alternatives</t>
    </r>
    <r>
      <rPr>
        <rFont val="Calibri"/>
        <color rgb="FF000000"/>
        <sz val="11.0"/>
      </rPr>
      <t xml:space="preserve"> to solve the problem have been evaluated
• Other work or solutions proposed by other authors to deal with the problem are studied </t>
    </r>
    <r>
      <rPr>
        <rFont val="Calibri"/>
        <color theme="1"/>
        <sz val="11.0"/>
        <u/>
      </rPr>
      <t>in depth</t>
    </r>
    <r>
      <rPr>
        <rFont val="Calibri"/>
        <color rgb="FF000000"/>
        <sz val="11.0"/>
      </rPr>
      <t xml:space="preserve">. Among them, the </t>
    </r>
    <r>
      <rPr>
        <rFont val="Calibri"/>
        <color theme="1"/>
        <sz val="11.0"/>
        <u/>
      </rPr>
      <t>most updated and most relevant</t>
    </r>
    <r>
      <rPr>
        <rFont val="Calibri"/>
        <color rgb="FF000000"/>
        <sz val="11.0"/>
      </rPr>
      <t xml:space="preserve"> works within the study area have been taken into account.
• An </t>
    </r>
    <r>
      <rPr>
        <rFont val="Calibri"/>
        <color theme="1"/>
        <sz val="11.0"/>
        <u/>
      </rPr>
      <t>appropriate solution</t>
    </r>
    <r>
      <rPr>
        <rFont val="Calibri"/>
        <color rgb="FF000000"/>
        <sz val="11.0"/>
      </rPr>
      <t xml:space="preserve"> to the problem has been properly described</t>
    </r>
  </si>
  <si>
    <r>
      <rPr>
        <rFont val="Calibri"/>
        <color theme="1"/>
        <sz val="11.0"/>
      </rPr>
      <t xml:space="preserve">• Se identifican los aspectos </t>
    </r>
    <r>
      <rPr>
        <rFont val="Calibri"/>
        <color theme="1"/>
        <sz val="11.0"/>
        <u/>
      </rPr>
      <t>más relevantes</t>
    </r>
    <r>
      <rPr>
        <rFont val="Calibri"/>
        <color rgb="FF000000"/>
        <sz val="11.0"/>
      </rPr>
      <t xml:space="preserve"> del problema
• Se evalúan las alternativas </t>
    </r>
    <r>
      <rPr>
        <rFont val="Calibri"/>
        <color theme="1"/>
        <sz val="11.0"/>
        <u/>
      </rPr>
      <t>más destacadas</t>
    </r>
    <r>
      <rPr>
        <rFont val="Calibri"/>
        <color rgb="FF000000"/>
        <sz val="11.0"/>
      </rPr>
      <t xml:space="preserve"> para solucionarlo
• Se estudian otros trabajos o soluciones propuestas por otros autores para encarar el problema planteado. Sin embargo, </t>
    </r>
    <r>
      <rPr>
        <rFont val="Calibri"/>
        <color theme="1"/>
        <sz val="11.0"/>
        <u/>
      </rPr>
      <t>no se tienen en cuenta los trabajos más actuales o más relevantes</t>
    </r>
    <r>
      <rPr>
        <rFont val="Calibri"/>
        <color rgb="FF000000"/>
        <sz val="11.0"/>
      </rPr>
      <t xml:space="preserve"> dentro del área de estudio.
• Se describe una solución adecuada al problema planteado</t>
    </r>
  </si>
  <si>
    <r>
      <rPr>
        <rFont val="Calibri"/>
        <color theme="1"/>
        <sz val="11.0"/>
      </rPr>
      <t xml:space="preserve">• S'identifiquen els aspectes </t>
    </r>
    <r>
      <rPr>
        <rFont val="Calibri"/>
        <color theme="1"/>
        <sz val="11.0"/>
        <u/>
      </rPr>
      <t>més rellevants</t>
    </r>
    <r>
      <rPr>
        <rFont val="Calibri"/>
        <color rgb="FF000000"/>
        <sz val="11.0"/>
      </rPr>
      <t xml:space="preserve"> del problema
• S'avaluen les alternatives </t>
    </r>
    <r>
      <rPr>
        <rFont val="Calibri"/>
        <color theme="1"/>
        <sz val="11.0"/>
        <u/>
      </rPr>
      <t>més destacades</t>
    </r>
    <r>
      <rPr>
        <rFont val="Calibri"/>
        <color rgb="FF000000"/>
        <sz val="11.0"/>
      </rPr>
      <t xml:space="preserve"> per solucionar el problema
• S'estudien altres treballs o solucions proposades per altres autors per encarar el problema plantejat. No obstant això,</t>
    </r>
    <r>
      <rPr>
        <rFont val="Calibri"/>
        <color theme="1"/>
        <sz val="11.0"/>
        <u/>
      </rPr>
      <t xml:space="preserve"> no es tenen en compte els treballs més actuals o més rellevants</t>
    </r>
    <r>
      <rPr>
        <rFont val="Calibri"/>
        <color rgb="FF000000"/>
        <sz val="11.0"/>
      </rPr>
      <t xml:space="preserve"> dins l'àrea d'estudi.
• Es descriu una solució adequada al problema plantejat</t>
    </r>
  </si>
  <si>
    <r>
      <rPr>
        <rFont val="Calibri"/>
        <color theme="1"/>
        <sz val="11.0"/>
      </rPr>
      <t xml:space="preserve">• Only the </t>
    </r>
    <r>
      <rPr>
        <rFont val="Calibri"/>
        <color theme="1"/>
        <sz val="11.0"/>
        <u/>
      </rPr>
      <t>most</t>
    </r>
    <r>
      <rPr>
        <rFont val="Calibri"/>
        <color rgb="FF000000"/>
        <sz val="11.0"/>
      </rPr>
      <t xml:space="preserve"> relevant aspects of the problem have been identified
• Only the </t>
    </r>
    <r>
      <rPr>
        <rFont val="Calibri"/>
        <color theme="1"/>
        <sz val="11.0"/>
        <u/>
      </rPr>
      <t>most</t>
    </r>
    <r>
      <rPr>
        <rFont val="Calibri"/>
        <color rgb="FF000000"/>
        <sz val="11.0"/>
      </rPr>
      <t xml:space="preserve"> outstanding alternatives to solve the problem have been evaluated
• Other work or solutions proposed by other authors are studied to deal with the problem. However, the </t>
    </r>
    <r>
      <rPr>
        <rFont val="Calibri"/>
        <color theme="1"/>
        <sz val="11.0"/>
        <u/>
      </rPr>
      <t>most updated or most relevant works within the study area are not taken into account</t>
    </r>
    <r>
      <rPr>
        <rFont val="Calibri"/>
        <color rgb="FF000000"/>
        <sz val="11.0"/>
      </rPr>
      <t xml:space="preserve">
• An appropriate solution to the problem has been properly described</t>
    </r>
  </si>
  <si>
    <r>
      <rPr>
        <rFont val="Calibri"/>
        <color theme="1"/>
        <sz val="11.0"/>
      </rPr>
      <t>• Se identifican los</t>
    </r>
    <r>
      <rPr>
        <rFont val="Calibri"/>
        <color theme="1"/>
        <sz val="11.0"/>
        <u/>
      </rPr>
      <t xml:space="preserve"> aspectos básicos</t>
    </r>
    <r>
      <rPr>
        <rFont val="Calibri"/>
        <color rgb="FF000000"/>
        <sz val="11.0"/>
      </rPr>
      <t xml:space="preserve"> del problema
• Se evalúan </t>
    </r>
    <r>
      <rPr>
        <rFont val="Calibri"/>
        <color theme="1"/>
        <sz val="11.0"/>
        <u/>
      </rPr>
      <t>algunas alternativas</t>
    </r>
    <r>
      <rPr>
        <rFont val="Calibri"/>
        <color rgb="FF000000"/>
        <sz val="11.0"/>
      </rPr>
      <t xml:space="preserve"> para solucionarlo
• Se describe una </t>
    </r>
    <r>
      <rPr>
        <rFont val="Calibri"/>
        <color theme="1"/>
        <sz val="11.0"/>
        <u/>
      </rPr>
      <t>solución bàsica</t>
    </r>
    <r>
      <rPr>
        <rFont val="Calibri"/>
        <color rgb="FF000000"/>
        <sz val="11.0"/>
      </rPr>
      <t xml:space="preserve"> al problema planteado</t>
    </r>
  </si>
  <si>
    <r>
      <rPr>
        <rFont val="Calibri"/>
        <color theme="1"/>
        <sz val="11.0"/>
      </rPr>
      <t xml:space="preserve">• S'identifiquen els </t>
    </r>
    <r>
      <rPr>
        <rFont val="Calibri"/>
        <color theme="1"/>
        <sz val="11.0"/>
        <u/>
      </rPr>
      <t>aspectes bàsics</t>
    </r>
    <r>
      <rPr>
        <rFont val="Calibri"/>
        <color rgb="FF000000"/>
        <sz val="11.0"/>
      </rPr>
      <t xml:space="preserve"> del problema
• S'avaluen </t>
    </r>
    <r>
      <rPr>
        <rFont val="Calibri"/>
        <color theme="1"/>
        <sz val="11.0"/>
        <u/>
      </rPr>
      <t>algunes alternatives</t>
    </r>
    <r>
      <rPr>
        <rFont val="Calibri"/>
        <color rgb="FF000000"/>
        <sz val="11.0"/>
      </rPr>
      <t xml:space="preserve"> per solucionar-lo
• Es descriu una </t>
    </r>
    <r>
      <rPr>
        <rFont val="Calibri"/>
        <color theme="1"/>
        <sz val="11.0"/>
        <u/>
      </rPr>
      <t>solució bàsica</t>
    </r>
    <r>
      <rPr>
        <rFont val="Calibri"/>
        <color rgb="FF000000"/>
        <sz val="11.0"/>
      </rPr>
      <t xml:space="preserve"> al problema plantejat</t>
    </r>
  </si>
  <si>
    <r>
      <rPr>
        <rFont val="Calibri"/>
        <color theme="1"/>
        <sz val="11.0"/>
      </rPr>
      <t xml:space="preserve">• The </t>
    </r>
    <r>
      <rPr>
        <rFont val="Calibri"/>
        <color theme="1"/>
        <sz val="11.0"/>
        <u/>
      </rPr>
      <t>basic aspects</t>
    </r>
    <r>
      <rPr>
        <rFont val="Calibri"/>
        <color rgb="FF000000"/>
        <sz val="11.0"/>
      </rPr>
      <t xml:space="preserve"> of the problem have been identified
• Only </t>
    </r>
    <r>
      <rPr>
        <rFont val="Calibri"/>
        <color theme="1"/>
        <sz val="11.0"/>
        <u/>
      </rPr>
      <t>few</t>
    </r>
    <r>
      <rPr>
        <rFont val="Calibri"/>
        <color rgb="FF000000"/>
        <sz val="11.0"/>
      </rPr>
      <t xml:space="preserve"> alternatives have been evaluated to solve it
• A </t>
    </r>
    <r>
      <rPr>
        <rFont val="Calibri"/>
        <color theme="1"/>
        <sz val="11.0"/>
        <u/>
      </rPr>
      <t>basic solution</t>
    </r>
    <r>
      <rPr>
        <rFont val="Calibri"/>
        <color rgb="FF000000"/>
        <sz val="11.0"/>
      </rPr>
      <t xml:space="preserve"> to the problem has been described</t>
    </r>
  </si>
  <si>
    <r>
      <rPr>
        <rFont val="Calibri"/>
        <color theme="1"/>
        <sz val="11.0"/>
      </rPr>
      <t xml:space="preserve">• </t>
    </r>
    <r>
      <rPr>
        <rFont val="Calibri"/>
        <color theme="1"/>
        <sz val="11.0"/>
        <u/>
      </rPr>
      <t>No se identifican los aspectos básicos</t>
    </r>
    <r>
      <rPr>
        <rFont val="Calibri"/>
        <color rgb="FF000000"/>
        <sz val="11.0"/>
      </rPr>
      <t xml:space="preserve"> del problema
• Se describe una solución básica al problema planteado</t>
    </r>
  </si>
  <si>
    <r>
      <rPr>
        <rFont val="Calibri"/>
        <color theme="1"/>
        <sz val="11.0"/>
      </rPr>
      <t xml:space="preserve">• </t>
    </r>
    <r>
      <rPr>
        <rFont val="Calibri"/>
        <color theme="1"/>
        <sz val="11.0"/>
        <u/>
      </rPr>
      <t>No s'identifiquen els aspectes bàsics</t>
    </r>
    <r>
      <rPr>
        <rFont val="Calibri"/>
        <color rgb="FF000000"/>
        <sz val="11.0"/>
      </rPr>
      <t xml:space="preserve"> del problema
• Es descriu una solució bàsica al problema plantejat</t>
    </r>
  </si>
  <si>
    <r>
      <rPr>
        <rFont val="Calibri"/>
        <color theme="1"/>
        <sz val="11.0"/>
      </rPr>
      <t xml:space="preserve">• The </t>
    </r>
    <r>
      <rPr>
        <rFont val="Calibri"/>
        <color theme="1"/>
        <sz val="11.0"/>
        <u/>
      </rPr>
      <t>basic aspects</t>
    </r>
    <r>
      <rPr>
        <rFont val="Calibri"/>
        <color rgb="FF000000"/>
        <sz val="11.0"/>
      </rPr>
      <t xml:space="preserve"> of the problem have </t>
    </r>
    <r>
      <rPr>
        <rFont val="Calibri"/>
        <color theme="1"/>
        <sz val="11.0"/>
        <u/>
      </rPr>
      <t>not been identified</t>
    </r>
    <r>
      <rPr>
        <rFont val="Calibri"/>
        <color rgb="FF000000"/>
        <sz val="11.0"/>
      </rPr>
      <t xml:space="preserve">
• A basic solution to the problem has been described</t>
    </r>
  </si>
  <si>
    <r>
      <rPr>
        <rFont val="Calibri"/>
        <color theme="1"/>
        <sz val="11.0"/>
      </rPr>
      <t xml:space="preserve">• No se identifican los aspectos básicos del problema
• </t>
    </r>
    <r>
      <rPr>
        <rFont val="Calibri"/>
        <color theme="1"/>
        <sz val="11.0"/>
        <u/>
      </rPr>
      <t>No se describe una solución básica</t>
    </r>
    <r>
      <rPr>
        <rFont val="Calibri"/>
        <color rgb="FF000000"/>
        <sz val="11.0"/>
      </rPr>
      <t xml:space="preserve"> al problema planteado</t>
    </r>
  </si>
  <si>
    <r>
      <rPr>
        <rFont val="Calibri"/>
        <color theme="1"/>
        <sz val="11.0"/>
      </rPr>
      <t xml:space="preserve">• No s'identifiquen els aspectes bàsics del problema
• </t>
    </r>
    <r>
      <rPr>
        <rFont val="Calibri"/>
        <color theme="1"/>
        <sz val="11.0"/>
        <u/>
      </rPr>
      <t>No es descriu una solució bàsica</t>
    </r>
    <r>
      <rPr>
        <rFont val="Calibri"/>
        <color rgb="FF000000"/>
        <sz val="11.0"/>
      </rPr>
      <t xml:space="preserve"> al problema plantejat</t>
    </r>
  </si>
  <si>
    <r>
      <rPr>
        <rFont val="Calibri"/>
        <color theme="1"/>
        <sz val="11.0"/>
      </rPr>
      <t xml:space="preserve">• The basic aspects of the problem have not been identified
• A </t>
    </r>
    <r>
      <rPr>
        <rFont val="Calibri"/>
        <color theme="1"/>
        <sz val="11.0"/>
        <u/>
      </rPr>
      <t>basic solution</t>
    </r>
    <r>
      <rPr>
        <rFont val="Calibri"/>
        <color rgb="FF000000"/>
        <sz val="11.0"/>
      </rPr>
      <t xml:space="preserve"> to the problem has </t>
    </r>
    <r>
      <rPr>
        <rFont val="Calibri"/>
        <color theme="1"/>
        <sz val="11.0"/>
        <u/>
      </rPr>
      <t>not been described</t>
    </r>
  </si>
  <si>
    <t>Análisis de requerimientos</t>
  </si>
  <si>
    <t>Anàlisi de requeriments</t>
  </si>
  <si>
    <t>Requirement analysis</t>
  </si>
  <si>
    <r>
      <rPr>
        <rFont val="Calibri"/>
        <color theme="1"/>
        <sz val="11.0"/>
      </rPr>
      <t xml:space="preserve">• Se ha hecho un estudio </t>
    </r>
    <r>
      <rPr>
        <rFont val="Calibri"/>
        <color theme="1"/>
        <sz val="11.0"/>
        <u/>
      </rPr>
      <t>profundo</t>
    </r>
    <r>
      <rPr>
        <rFont val="Calibri"/>
        <color rgb="FF000000"/>
        <sz val="11.0"/>
      </rPr>
      <t xml:space="preserve"> de las necesidades existentes en el contexto del trabajo
• Se han extraído de forma </t>
    </r>
    <r>
      <rPr>
        <rFont val="Calibri"/>
        <color theme="1"/>
        <sz val="11.0"/>
        <u/>
      </rPr>
      <t>exhaustiva</t>
    </r>
    <r>
      <rPr>
        <rFont val="Calibri"/>
        <color rgb="FF000000"/>
        <sz val="11.0"/>
      </rPr>
      <t xml:space="preserve"> los requerimientos y, en caso de desarrollos de software, se ha especificado las </t>
    </r>
    <r>
      <rPr>
        <rFont val="Calibri"/>
        <color theme="1"/>
        <sz val="11.0"/>
        <u/>
      </rPr>
      <t>características operacionales que debe tener la solución</t>
    </r>
    <r>
      <rPr>
        <rFont val="Calibri"/>
        <color rgb="FF000000"/>
        <sz val="11.0"/>
      </rPr>
      <t xml:space="preserve"> 
• Los requerimientos se han definido de forma </t>
    </r>
    <r>
      <rPr>
        <rFont val="Calibri"/>
        <color theme="1"/>
        <sz val="11.0"/>
        <u/>
      </rPr>
      <t>clara</t>
    </r>
    <r>
      <rPr>
        <rFont val="Calibri"/>
        <color rgb="FF000000"/>
        <sz val="11.0"/>
      </rPr>
      <t xml:space="preserve">, </t>
    </r>
    <r>
      <rPr>
        <rFont val="Calibri"/>
        <color theme="1"/>
        <sz val="11.0"/>
        <u/>
      </rPr>
      <t>verificable</t>
    </r>
    <r>
      <rPr>
        <rFont val="Calibri"/>
        <color rgb="FF000000"/>
        <sz val="11.0"/>
      </rPr>
      <t xml:space="preserve"> y </t>
    </r>
    <r>
      <rPr>
        <rFont val="Calibri"/>
        <color theme="1"/>
        <sz val="11.0"/>
        <u/>
      </rPr>
      <t>priorizable</t>
    </r>
    <r>
      <rPr>
        <rFont val="Calibri"/>
        <color rgb="FF000000"/>
        <sz val="11.0"/>
      </rPr>
      <t xml:space="preserve">
• Se han tenido en cuenta las </t>
    </r>
    <r>
      <rPr>
        <rFont val="Calibri"/>
        <color theme="1"/>
        <sz val="11.0"/>
        <u/>
      </rPr>
      <t>diferentes áreas que involucra el trabajo</t>
    </r>
  </si>
  <si>
    <r>
      <rPr>
        <rFont val="Calibri"/>
        <color theme="1"/>
        <sz val="11.0"/>
      </rPr>
      <t xml:space="preserve">• S'ha fet un estudi </t>
    </r>
    <r>
      <rPr>
        <rFont val="Calibri"/>
        <color theme="1"/>
        <sz val="11.0"/>
        <u/>
      </rPr>
      <t>profund</t>
    </r>
    <r>
      <rPr>
        <rFont val="Calibri"/>
        <color rgb="FF000000"/>
        <sz val="11.0"/>
      </rPr>
      <t xml:space="preserve"> de les necessitats existents en el context del treball
• S'han extret de forma </t>
    </r>
    <r>
      <rPr>
        <rFont val="Calibri"/>
        <color theme="1"/>
        <sz val="11.0"/>
        <u/>
      </rPr>
      <t>exhaustiva</t>
    </r>
    <r>
      <rPr>
        <rFont val="Calibri"/>
        <color rgb="FF000000"/>
        <sz val="11.0"/>
      </rPr>
      <t xml:space="preserve"> els requeriments i, en cas de desenvolupaments de programari, s'ha especificat les </t>
    </r>
    <r>
      <rPr>
        <rFont val="Calibri"/>
        <color theme="1"/>
        <sz val="11.0"/>
        <u/>
      </rPr>
      <t>característiques operacionals que ha de tenir la solució</t>
    </r>
    <r>
      <rPr>
        <rFont val="Calibri"/>
        <color rgb="FF000000"/>
        <sz val="11.0"/>
      </rPr>
      <t xml:space="preserve">
• Els requeriments s'han definit de forma </t>
    </r>
    <r>
      <rPr>
        <rFont val="Calibri"/>
        <color theme="1"/>
        <sz val="11.0"/>
        <u/>
      </rPr>
      <t>clara</t>
    </r>
    <r>
      <rPr>
        <rFont val="Calibri"/>
        <color rgb="FF000000"/>
        <sz val="11.0"/>
      </rPr>
      <t xml:space="preserve">, </t>
    </r>
    <r>
      <rPr>
        <rFont val="Calibri"/>
        <color theme="1"/>
        <sz val="11.0"/>
        <u/>
      </rPr>
      <t xml:space="preserve">verificable </t>
    </r>
    <r>
      <rPr>
        <rFont val="Calibri"/>
        <color rgb="FF000000"/>
        <sz val="11.0"/>
      </rPr>
      <t xml:space="preserve">i </t>
    </r>
    <r>
      <rPr>
        <rFont val="Calibri"/>
        <color theme="1"/>
        <sz val="11.0"/>
        <u/>
      </rPr>
      <t>priorizable</t>
    </r>
    <r>
      <rPr>
        <rFont val="Calibri"/>
        <color rgb="FF000000"/>
        <sz val="11.0"/>
      </rPr>
      <t xml:space="preserve">
• S'han tingut en compte les </t>
    </r>
    <r>
      <rPr>
        <rFont val="Calibri"/>
        <color theme="1"/>
        <sz val="11.0"/>
        <u/>
      </rPr>
      <t>diferents àrees que involucra el treball</t>
    </r>
  </si>
  <si>
    <r>
      <rPr>
        <rFont val="Calibri"/>
        <color theme="1"/>
        <sz val="11.0"/>
      </rPr>
      <t xml:space="preserve">• An </t>
    </r>
    <r>
      <rPr>
        <rFont val="Calibri"/>
        <color theme="1"/>
        <sz val="11.0"/>
        <u/>
      </rPr>
      <t>in-depth</t>
    </r>
    <r>
      <rPr>
        <rFont val="Calibri"/>
        <color rgb="FF000000"/>
        <sz val="11.0"/>
      </rPr>
      <t xml:space="preserve"> analysis has been made studing the existing needs in the context of the project
• The requirements have been </t>
    </r>
    <r>
      <rPr>
        <rFont val="Calibri"/>
        <color theme="1"/>
        <sz val="11.0"/>
        <u/>
      </rPr>
      <t>exhaustively</t>
    </r>
    <r>
      <rPr>
        <rFont val="Calibri"/>
        <color rgb="FF000000"/>
        <sz val="11.0"/>
      </rPr>
      <t xml:space="preserve"> detailed and, in the case of software development, the </t>
    </r>
    <r>
      <rPr>
        <rFont val="Calibri"/>
        <color theme="1"/>
        <sz val="11.0"/>
        <u/>
      </rPr>
      <t>operational characteristics of the solution</t>
    </r>
    <r>
      <rPr>
        <rFont val="Calibri"/>
        <color rgb="FF000000"/>
        <sz val="11.0"/>
      </rPr>
      <t xml:space="preserve"> have been specified
• The requirements have been </t>
    </r>
    <r>
      <rPr>
        <rFont val="Calibri"/>
        <color theme="1"/>
        <sz val="11.0"/>
        <u/>
      </rPr>
      <t>clearly defined</t>
    </r>
    <r>
      <rPr>
        <rFont val="Calibri"/>
        <color rgb="FF000000"/>
        <sz val="11.0"/>
      </rPr>
      <t xml:space="preserve">, they are </t>
    </r>
    <r>
      <rPr>
        <rFont val="Calibri"/>
        <color theme="1"/>
        <sz val="11.0"/>
        <u/>
      </rPr>
      <t>verifiable</t>
    </r>
    <r>
      <rPr>
        <rFont val="Calibri"/>
        <color rgb="FF000000"/>
        <sz val="11.0"/>
      </rPr>
      <t xml:space="preserve"> and they have been </t>
    </r>
    <r>
      <rPr>
        <rFont val="Calibri"/>
        <color theme="1"/>
        <sz val="11.0"/>
        <u/>
      </rPr>
      <t>prioritized</t>
    </r>
    <r>
      <rPr>
        <rFont val="Calibri"/>
        <color rgb="FF000000"/>
        <sz val="11.0"/>
      </rPr>
      <t xml:space="preserve">
• The </t>
    </r>
    <r>
      <rPr>
        <rFont val="Calibri"/>
        <color theme="1"/>
        <sz val="11.0"/>
        <u/>
      </rPr>
      <t>different areas involved in the project</t>
    </r>
    <r>
      <rPr>
        <rFont val="Calibri"/>
        <color rgb="FF000000"/>
        <sz val="11.0"/>
      </rPr>
      <t xml:space="preserve"> have been taken into account</t>
    </r>
  </si>
  <si>
    <r>
      <rPr>
        <rFont val="Calibri"/>
        <color theme="1"/>
        <sz val="11.0"/>
      </rPr>
      <t xml:space="preserve">La entrega responde a la </t>
    </r>
    <r>
      <rPr>
        <rFont val="Calibri"/>
        <color theme="1"/>
        <sz val="11.0"/>
        <u/>
      </rPr>
      <t>mayoría de los siguientes puntos</t>
    </r>
    <r>
      <rPr>
        <rFont val="Calibri"/>
        <color rgb="FF000000"/>
        <sz val="11.0"/>
      </rPr>
      <t xml:space="preserve">, pero </t>
    </r>
    <r>
      <rPr>
        <rFont val="Calibri"/>
        <color theme="1"/>
        <sz val="11.0"/>
        <u/>
      </rPr>
      <t>no todos</t>
    </r>
    <r>
      <rPr>
        <rFont val="Calibri"/>
        <color rgb="FF000000"/>
        <sz val="11.0"/>
      </rPr>
      <t>:
• Se ha hecho un estudio profundo de las necesidades existentes en el contexto del trabajo
• Se han extraído de forma exhaustiva los requerimientos y, en caso de desarrollos de software, se ha especificado las características operacionales que debe tener la solución 
• Los requerimientos se han definido de forma clara, verificable y priorizable
• Se han tenido en cuenta las diferentes áreas que involucra el trabajo</t>
    </r>
  </si>
  <si>
    <r>
      <rPr>
        <rFont val="Calibri"/>
        <color theme="1"/>
        <sz val="11.0"/>
      </rPr>
      <t>El lliurament respon a la</t>
    </r>
    <r>
      <rPr>
        <rFont val="Calibri"/>
        <color theme="1"/>
        <sz val="11.0"/>
        <u/>
      </rPr>
      <t xml:space="preserve"> majoria dels següents punts</t>
    </r>
    <r>
      <rPr>
        <rFont val="Calibri"/>
        <color rgb="FF000000"/>
        <sz val="11.0"/>
      </rPr>
      <t xml:space="preserve">, però </t>
    </r>
    <r>
      <rPr>
        <rFont val="Calibri"/>
        <color theme="1"/>
        <sz val="11.0"/>
        <u/>
      </rPr>
      <t>no tots</t>
    </r>
    <r>
      <rPr>
        <rFont val="Calibri"/>
        <color rgb="FF000000"/>
        <sz val="11.0"/>
      </rPr>
      <t>:
• S'ha fet un estudi profund de les necessitats existents en el context del treball
• S'han extret de forma exhaustiva els requeriments i, en cas de desenvolupaments de programari, s'ha especificat les característiques operacionals que ha de tenir la solució
• Els requeriments s'han definit de forma clara, verificable i priorizable
• S'han tingut en compte les diferents àrees que involucra el treball</t>
    </r>
  </si>
  <si>
    <r>
      <rPr>
        <rFont val="Calibri"/>
        <color theme="1"/>
        <sz val="11.0"/>
      </rPr>
      <t xml:space="preserve">The submission answers </t>
    </r>
    <r>
      <rPr>
        <rFont val="Calibri"/>
        <color theme="1"/>
        <sz val="11.0"/>
        <u/>
      </rPr>
      <t>most of the following points</t>
    </r>
    <r>
      <rPr>
        <rFont val="Calibri"/>
        <color rgb="FF000000"/>
        <sz val="11.0"/>
      </rPr>
      <t>, but</t>
    </r>
    <r>
      <rPr>
        <rFont val="Calibri"/>
        <color theme="1"/>
        <sz val="11.0"/>
        <u/>
      </rPr>
      <t xml:space="preserve"> not all</t>
    </r>
    <r>
      <rPr>
        <rFont val="Calibri"/>
        <color rgb="FF000000"/>
        <sz val="11.0"/>
      </rPr>
      <t>:
• An in-depth analysis has been made studing the existing needs in the context of the project
• The requirements have been exhaustively detailed and, in the case of software development, the operational characteristics of the solution have been specified
• The requirements have been clearly defined, they are verifiable and have been prioritized
• The different areas involved in the project have been taken into account</t>
    </r>
  </si>
  <si>
    <r>
      <rPr>
        <rFont val="Calibri"/>
        <color theme="1"/>
        <sz val="11.0"/>
      </rPr>
      <t xml:space="preserve">• Se ha hecho un </t>
    </r>
    <r>
      <rPr>
        <rFont val="Calibri"/>
        <color theme="1"/>
        <sz val="11.0"/>
        <u/>
      </rPr>
      <t>estudio superficial</t>
    </r>
    <r>
      <rPr>
        <rFont val="Calibri"/>
        <color rgb="FF000000"/>
        <sz val="11.0"/>
      </rPr>
      <t xml:space="preserve"> de las necesidades existentes en el contexto del trabajo
• Se han extraído los </t>
    </r>
    <r>
      <rPr>
        <rFont val="Calibri"/>
        <color theme="1"/>
        <sz val="11.0"/>
        <u/>
      </rPr>
      <t>requerimientos básicos</t>
    </r>
    <r>
      <rPr>
        <rFont val="Calibri"/>
        <color rgb="FF000000"/>
        <sz val="11.0"/>
      </rPr>
      <t xml:space="preserve"> 
• </t>
    </r>
    <r>
      <rPr>
        <rFont val="Calibri"/>
        <color theme="1"/>
        <sz val="11.0"/>
        <u/>
      </rPr>
      <t>En general</t>
    </r>
    <r>
      <rPr>
        <rFont val="Calibri"/>
        <color rgb="FF000000"/>
        <sz val="11.0"/>
      </rPr>
      <t xml:space="preserve">, los requerimientos se han definido de forma </t>
    </r>
    <r>
      <rPr>
        <rFont val="Calibri"/>
        <color theme="1"/>
        <sz val="11.0"/>
        <u/>
      </rPr>
      <t>clara, verificable y priorizable</t>
    </r>
  </si>
  <si>
    <r>
      <rPr>
        <rFont val="Calibri"/>
        <color theme="1"/>
        <sz val="11.0"/>
      </rPr>
      <t xml:space="preserve">• S'ha fet un </t>
    </r>
    <r>
      <rPr>
        <rFont val="Calibri"/>
        <color theme="1"/>
        <sz val="11.0"/>
        <u/>
      </rPr>
      <t>estudi superficial</t>
    </r>
    <r>
      <rPr>
        <rFont val="Calibri"/>
        <color rgb="FF000000"/>
        <sz val="11.0"/>
      </rPr>
      <t xml:space="preserve"> de les necessitats existents en el context del treball
• S'han extret els </t>
    </r>
    <r>
      <rPr>
        <rFont val="Calibri"/>
        <color theme="1"/>
        <sz val="11.0"/>
        <u/>
      </rPr>
      <t>requeriments bàsics</t>
    </r>
    <r>
      <rPr>
        <rFont val="Calibri"/>
        <color rgb="FF000000"/>
        <sz val="11.0"/>
      </rPr>
      <t xml:space="preserve">
• </t>
    </r>
    <r>
      <rPr>
        <rFont val="Calibri"/>
        <color theme="1"/>
        <sz val="11.0"/>
        <u/>
      </rPr>
      <t>En general</t>
    </r>
    <r>
      <rPr>
        <rFont val="Calibri"/>
        <color rgb="FF000000"/>
        <sz val="11.0"/>
      </rPr>
      <t xml:space="preserve">, els requeriments s'han definit de forma </t>
    </r>
    <r>
      <rPr>
        <rFont val="Calibri"/>
        <color theme="1"/>
        <sz val="11.0"/>
        <u/>
      </rPr>
      <t>clara, verificable i priorizable</t>
    </r>
  </si>
  <si>
    <r>
      <rPr>
        <rFont val="Calibri"/>
        <color theme="1"/>
        <sz val="11.0"/>
      </rPr>
      <t xml:space="preserve">• A </t>
    </r>
    <r>
      <rPr>
        <rFont val="Calibri"/>
        <color theme="1"/>
        <sz val="11.0"/>
        <u/>
      </rPr>
      <t>superficial study</t>
    </r>
    <r>
      <rPr>
        <rFont val="Calibri"/>
        <color rgb="FF000000"/>
        <sz val="11.0"/>
      </rPr>
      <t xml:space="preserve"> has been made of the existing needs in the context of the project
• </t>
    </r>
    <r>
      <rPr>
        <rFont val="Calibri"/>
        <color theme="1"/>
        <sz val="11.0"/>
        <u/>
      </rPr>
      <t>Basic requirements</t>
    </r>
    <r>
      <rPr>
        <rFont val="Calibri"/>
        <color rgb="FF000000"/>
        <sz val="11.0"/>
      </rPr>
      <t xml:space="preserve"> have been detailed
• </t>
    </r>
    <r>
      <rPr>
        <rFont val="Calibri"/>
        <color theme="1"/>
        <sz val="11.0"/>
        <u/>
      </rPr>
      <t>In general</t>
    </r>
    <r>
      <rPr>
        <rFont val="Calibri"/>
        <color rgb="FF000000"/>
        <sz val="11.0"/>
      </rPr>
      <t xml:space="preserve">, the requirements have been defined in a </t>
    </r>
    <r>
      <rPr>
        <rFont val="Calibri"/>
        <color theme="1"/>
        <sz val="11.0"/>
        <u/>
      </rPr>
      <t>clear</t>
    </r>
    <r>
      <rPr>
        <rFont val="Calibri"/>
        <color rgb="FF000000"/>
        <sz val="11.0"/>
      </rPr>
      <t>, verifiable and prioritizable way</t>
    </r>
  </si>
  <si>
    <r>
      <rPr>
        <rFont val="Calibri"/>
        <color theme="1"/>
        <sz val="11.0"/>
      </rPr>
      <t>• Se ha hecho un estudio superficial de las necesidades existentes en el contexto del trabajo
• Se han extraído los requerimientos básicos 
• Los requerimientos se han definido de forma</t>
    </r>
    <r>
      <rPr>
        <rFont val="Calibri"/>
        <color theme="1"/>
        <sz val="11.0"/>
        <u/>
      </rPr>
      <t xml:space="preserve"> no totalmente clara, verificable o priorizable</t>
    </r>
  </si>
  <si>
    <r>
      <rPr>
        <rFont val="Calibri"/>
        <color theme="1"/>
        <sz val="11.0"/>
      </rPr>
      <t xml:space="preserve">• S'ha fet un estudi superficial de les necessitats existents en el context del treball
• S'han extret els requeriments bàsics
• Els requeriments s'han definit de forma </t>
    </r>
    <r>
      <rPr>
        <rFont val="Calibri"/>
        <color theme="1"/>
        <sz val="11.0"/>
        <u/>
      </rPr>
      <t>no totalment clara, verificable o priorizable</t>
    </r>
  </si>
  <si>
    <r>
      <rPr>
        <rFont val="Calibri"/>
        <color theme="1"/>
        <sz val="11.0"/>
      </rPr>
      <t xml:space="preserve">• A superficial study has been made of the existing needs in the context of the project
• Basic requirements have been extracted
• The requirements have been defined in a way that is </t>
    </r>
    <r>
      <rPr>
        <rFont val="Calibri"/>
        <color theme="1"/>
        <sz val="11.0"/>
        <u/>
      </rPr>
      <t>not totally clear, verifiable or prioritizable</t>
    </r>
  </si>
  <si>
    <r>
      <rPr>
        <rFont val="Calibri"/>
        <color theme="1"/>
        <sz val="11.0"/>
      </rPr>
      <t xml:space="preserve">• </t>
    </r>
    <r>
      <rPr>
        <rFont val="Calibri"/>
        <color theme="1"/>
        <sz val="11.0"/>
        <u/>
      </rPr>
      <t>No se ha hecho un estudio básico</t>
    </r>
    <r>
      <rPr>
        <rFont val="Calibri"/>
        <color rgb="FF000000"/>
        <sz val="11.0"/>
      </rPr>
      <t xml:space="preserve"> de las necesidades existentes en el contexto del trabajo
• </t>
    </r>
    <r>
      <rPr>
        <rFont val="Calibri"/>
        <color theme="1"/>
        <sz val="11.0"/>
        <u/>
      </rPr>
      <t>No se han extraído los requerimientos básicos</t>
    </r>
    <r>
      <rPr>
        <rFont val="Calibri"/>
        <color rgb="FF000000"/>
        <sz val="11.0"/>
      </rPr>
      <t xml:space="preserve"> </t>
    </r>
  </si>
  <si>
    <r>
      <rPr>
        <rFont val="Calibri"/>
        <color theme="1"/>
        <sz val="11.0"/>
      </rPr>
      <t xml:space="preserve">• </t>
    </r>
    <r>
      <rPr>
        <rFont val="Calibri"/>
        <color theme="1"/>
        <sz val="11.0"/>
        <u/>
      </rPr>
      <t>No s'ha fet un estudi bàsic</t>
    </r>
    <r>
      <rPr>
        <rFont val="Calibri"/>
        <color rgb="FF000000"/>
        <sz val="11.0"/>
      </rPr>
      <t xml:space="preserve"> de les necessitats existents en el context del treball
• </t>
    </r>
    <r>
      <rPr>
        <rFont val="Calibri"/>
        <color theme="1"/>
        <sz val="11.0"/>
        <u/>
      </rPr>
      <t>No s'han extret els requeriments bàsics</t>
    </r>
  </si>
  <si>
    <r>
      <rPr>
        <rFont val="Calibri"/>
        <color theme="1"/>
        <sz val="11.0"/>
      </rPr>
      <t xml:space="preserve">• A </t>
    </r>
    <r>
      <rPr>
        <rFont val="Calibri"/>
        <color theme="1"/>
        <sz val="11.0"/>
        <u/>
      </rPr>
      <t>basic study</t>
    </r>
    <r>
      <rPr>
        <rFont val="Calibri"/>
        <color rgb="FF000000"/>
        <sz val="11.0"/>
      </rPr>
      <t xml:space="preserve"> of the existing needs in the context of the work has </t>
    </r>
    <r>
      <rPr>
        <rFont val="Calibri"/>
        <color theme="1"/>
        <sz val="11.0"/>
        <u/>
      </rPr>
      <t>not been done</t>
    </r>
    <r>
      <rPr>
        <rFont val="Calibri"/>
        <color rgb="FF000000"/>
        <sz val="11.0"/>
      </rPr>
      <t xml:space="preserve">
• The </t>
    </r>
    <r>
      <rPr>
        <rFont val="Calibri"/>
        <color theme="1"/>
        <sz val="11.0"/>
        <u/>
      </rPr>
      <t>basic requirements have not been detailed</t>
    </r>
  </si>
  <si>
    <t>Diseño adecuado de la propuesta</t>
  </si>
  <si>
    <t>Disseny adequat de la proposta</t>
  </si>
  <si>
    <t>Design of the proposal</t>
  </si>
  <si>
    <r>
      <rPr>
        <rFont val="Calibri"/>
        <color theme="1"/>
        <sz val="11.0"/>
      </rPr>
      <t xml:space="preserve">• Se ha </t>
    </r>
    <r>
      <rPr>
        <rFont val="Calibri"/>
        <color theme="1"/>
        <sz val="11.0"/>
        <u/>
      </rPr>
      <t>conceptualizado de forma correcta</t>
    </r>
    <r>
      <rPr>
        <rFont val="Calibri"/>
        <color rgb="FF000000"/>
        <sz val="11.0"/>
      </rPr>
      <t xml:space="preserve"> la solución a alcanzar teniendo </t>
    </r>
    <r>
      <rPr>
        <rFont val="Calibri"/>
        <color theme="1"/>
        <sz val="11.0"/>
        <u/>
      </rPr>
      <t>en cuenta los recursos disponibles</t>
    </r>
    <r>
      <rPr>
        <rFont val="Calibri"/>
        <color rgb="FF000000"/>
        <sz val="11.0"/>
      </rPr>
      <t xml:space="preserve">
• Se han utilizado </t>
    </r>
    <r>
      <rPr>
        <rFont val="Calibri"/>
        <color theme="1"/>
        <sz val="11.0"/>
        <u/>
      </rPr>
      <t>métodos o patrones de diseño actuales y adecuados</t>
    </r>
    <r>
      <rPr>
        <rFont val="Calibri"/>
        <color rgb="FF000000"/>
        <sz val="11.0"/>
      </rPr>
      <t xml:space="preserve"> para cada caso
• Se ha hecho un </t>
    </r>
    <r>
      <rPr>
        <rFont val="Calibri"/>
        <color theme="1"/>
        <sz val="11.0"/>
        <u/>
      </rPr>
      <t>diseño claro y sin ambigüedades</t>
    </r>
    <r>
      <rPr>
        <rFont val="Calibri"/>
        <color rgb="FF000000"/>
        <sz val="11.0"/>
      </rPr>
      <t xml:space="preserve">
• El diseño propuesto </t>
    </r>
    <r>
      <rPr>
        <rFont val="Calibri"/>
        <color theme="1"/>
        <sz val="11.0"/>
        <u/>
      </rPr>
      <t>cubre los requerimientos definidos en etapas previas</t>
    </r>
  </si>
  <si>
    <r>
      <rPr>
        <rFont val="Calibri"/>
        <color theme="1"/>
        <sz val="11.0"/>
      </rPr>
      <t xml:space="preserve">• S'ha </t>
    </r>
    <r>
      <rPr>
        <rFont val="Calibri"/>
        <color theme="1"/>
        <sz val="11.0"/>
        <u/>
      </rPr>
      <t>conceptualitzat de forma correcta</t>
    </r>
    <r>
      <rPr>
        <rFont val="Calibri"/>
        <color rgb="FF000000"/>
        <sz val="11.0"/>
      </rPr>
      <t xml:space="preserve"> la solució a assolir tenint </t>
    </r>
    <r>
      <rPr>
        <rFont val="Calibri"/>
        <color theme="1"/>
        <sz val="11.0"/>
        <u/>
      </rPr>
      <t>en compte els recursos disponibles</t>
    </r>
    <r>
      <rPr>
        <rFont val="Calibri"/>
        <color rgb="FF000000"/>
        <sz val="11.0"/>
      </rPr>
      <t xml:space="preserve">
• S'han utilitzat </t>
    </r>
    <r>
      <rPr>
        <rFont val="Calibri"/>
        <color theme="1"/>
        <sz val="11.0"/>
        <u/>
      </rPr>
      <t>mètodes o patrons de disseny actuals i adequats</t>
    </r>
    <r>
      <rPr>
        <rFont val="Calibri"/>
        <color rgb="FF000000"/>
        <sz val="11.0"/>
      </rPr>
      <t xml:space="preserve"> per a cada cas
• S'ha fet un </t>
    </r>
    <r>
      <rPr>
        <rFont val="Calibri"/>
        <color theme="1"/>
        <sz val="11.0"/>
        <u/>
      </rPr>
      <t>disseny clar i sense ambigüitats</t>
    </r>
    <r>
      <rPr>
        <rFont val="Calibri"/>
        <color rgb="FF000000"/>
        <sz val="11.0"/>
      </rPr>
      <t xml:space="preserve">
• El disseny proposat </t>
    </r>
    <r>
      <rPr>
        <rFont val="Calibri"/>
        <color theme="1"/>
        <sz val="11.0"/>
        <u/>
      </rPr>
      <t>cobreix els requeriments definits en etapes prèvies</t>
    </r>
  </si>
  <si>
    <r>
      <rPr>
        <rFont val="Calibri"/>
        <color theme="1"/>
        <sz val="11.0"/>
      </rPr>
      <t xml:space="preserve">• The design of the solution to the problem has been </t>
    </r>
    <r>
      <rPr>
        <rFont val="Calibri"/>
        <color theme="1"/>
        <sz val="11.0"/>
        <u/>
      </rPr>
      <t>correctly conceptualized</t>
    </r>
    <r>
      <rPr>
        <rFont val="Calibri"/>
        <color rgb="FF000000"/>
        <sz val="11.0"/>
      </rPr>
      <t xml:space="preserve">, taking </t>
    </r>
    <r>
      <rPr>
        <rFont val="Calibri"/>
        <color theme="1"/>
        <sz val="11.0"/>
        <u/>
      </rPr>
      <t>into account the available resources</t>
    </r>
    <r>
      <rPr>
        <rFont val="Calibri"/>
        <color rgb="FF000000"/>
        <sz val="11.0"/>
      </rPr>
      <t xml:space="preserve">
• Current and </t>
    </r>
    <r>
      <rPr>
        <rFont val="Calibri"/>
        <color theme="1"/>
        <sz val="11.0"/>
        <u/>
      </rPr>
      <t>appropriate design methods or patterns</t>
    </r>
    <r>
      <rPr>
        <rFont val="Calibri"/>
        <color rgb="FF000000"/>
        <sz val="11.0"/>
      </rPr>
      <t xml:space="preserve"> have been used
• The design is </t>
    </r>
    <r>
      <rPr>
        <rFont val="Calibri"/>
        <color theme="1"/>
        <sz val="11.0"/>
        <u/>
      </rPr>
      <t>clear and unambiguous</t>
    </r>
    <r>
      <rPr>
        <rFont val="Calibri"/>
        <color rgb="FF000000"/>
        <sz val="11.0"/>
      </rPr>
      <t xml:space="preserve">
• The design </t>
    </r>
    <r>
      <rPr>
        <rFont val="Calibri"/>
        <color theme="1"/>
        <sz val="11.0"/>
        <u/>
      </rPr>
      <t>meets the requirements defined in previous stages</t>
    </r>
  </si>
  <si>
    <r>
      <rPr>
        <rFont val="Calibri"/>
        <color theme="1"/>
        <sz val="11.0"/>
      </rPr>
      <t xml:space="preserve">• Se ha conceptualizado de forma correcta la solución a alcanzar teniendo en cuenta los recursos disponibles
• Se han utilizado </t>
    </r>
    <r>
      <rPr>
        <rFont val="Calibri"/>
        <color theme="1"/>
        <sz val="11.0"/>
        <u/>
      </rPr>
      <t>solo algunos</t>
    </r>
    <r>
      <rPr>
        <rFont val="Calibri"/>
        <color rgb="FF000000"/>
        <sz val="11.0"/>
      </rPr>
      <t xml:space="preserve"> métodos o patrones de diseño actuales y adecuados para cada caso
• Se ha hecho un diseño claro y sin ambigüedades
• El diseño propuesto cubre </t>
    </r>
    <r>
      <rPr>
        <rFont val="Calibri"/>
        <color theme="1"/>
        <sz val="11.0"/>
        <u/>
      </rPr>
      <t>la mayoría</t>
    </r>
    <r>
      <rPr>
        <rFont val="Calibri"/>
        <color rgb="FF000000"/>
        <sz val="11.0"/>
      </rPr>
      <t xml:space="preserve"> de los requerimientos definidos en etapas previas</t>
    </r>
  </si>
  <si>
    <r>
      <rPr>
        <rFont val="Calibri"/>
        <color theme="1"/>
        <sz val="11.0"/>
      </rPr>
      <t xml:space="preserve">• S'ha conceptualitzat de forma correcta la solució a assolir tenint en compte els recursos disponibles
• S'han utilitzat </t>
    </r>
    <r>
      <rPr>
        <rFont val="Calibri"/>
        <color theme="1"/>
        <sz val="11.0"/>
        <u/>
      </rPr>
      <t>només alguns</t>
    </r>
    <r>
      <rPr>
        <rFont val="Calibri"/>
        <color rgb="FF000000"/>
        <sz val="11.0"/>
      </rPr>
      <t xml:space="preserve"> mètodes o patrons de disseny actuals i adequats per a cada cas
• S'ha fet un disseny clar i sense ambigüitats
• El disseny proposat cobreix </t>
    </r>
    <r>
      <rPr>
        <rFont val="Calibri"/>
        <color theme="1"/>
        <sz val="11.0"/>
        <u/>
      </rPr>
      <t>la majoria</t>
    </r>
    <r>
      <rPr>
        <rFont val="Calibri"/>
        <color rgb="FF000000"/>
        <sz val="11.0"/>
      </rPr>
      <t xml:space="preserve"> dels requeriments definits en etapes prèvies</t>
    </r>
  </si>
  <si>
    <r>
      <rPr>
        <rFont val="Calibri"/>
        <color theme="1"/>
        <sz val="11.0"/>
      </rPr>
      <t xml:space="preserve">• The design of the solution to the problem has been correctly conceptualized, taking into account the available resources
• </t>
    </r>
    <r>
      <rPr>
        <rFont val="Calibri"/>
        <color theme="1"/>
        <sz val="11.0"/>
        <u/>
      </rPr>
      <t>Only some</t>
    </r>
    <r>
      <rPr>
        <rFont val="Calibri"/>
        <color rgb="FF000000"/>
        <sz val="11.0"/>
      </rPr>
      <t xml:space="preserve"> of the current and appropriate design methods or patterns have been used
• The design is clear and unambiguous
• The design meets </t>
    </r>
    <r>
      <rPr>
        <rFont val="Calibri"/>
        <color theme="1"/>
        <sz val="11.0"/>
        <u/>
      </rPr>
      <t>most</t>
    </r>
    <r>
      <rPr>
        <rFont val="Calibri"/>
        <color rgb="FF000000"/>
        <sz val="11.0"/>
      </rPr>
      <t xml:space="preserve"> of the requirements defined in previous stages</t>
    </r>
  </si>
  <si>
    <r>
      <rPr>
        <rFont val="Calibri"/>
        <color theme="1"/>
        <sz val="11.0"/>
      </rPr>
      <t xml:space="preserve">• Se ha conceptualizado de </t>
    </r>
    <r>
      <rPr>
        <rFont val="Calibri"/>
        <color theme="1"/>
        <sz val="11.0"/>
        <u/>
      </rPr>
      <t>forma básica</t>
    </r>
    <r>
      <rPr>
        <rFont val="Calibri"/>
        <color rgb="FF000000"/>
        <sz val="11.0"/>
      </rPr>
      <t xml:space="preserve"> la solución a alcanzar teniendo en cuenta los recursos disponibles
• Se han utilizado algunos </t>
    </r>
    <r>
      <rPr>
        <rFont val="Calibri"/>
        <color theme="1"/>
        <sz val="11.0"/>
        <u/>
      </rPr>
      <t>métodos o patrones de diseño adecuados</t>
    </r>
    <r>
      <rPr>
        <rFont val="Calibri"/>
        <color rgb="FF000000"/>
        <sz val="11.0"/>
      </rPr>
      <t xml:space="preserve"> para cada caso, aunque </t>
    </r>
    <r>
      <rPr>
        <rFont val="Calibri"/>
        <color theme="1"/>
        <sz val="11.0"/>
        <u/>
      </rPr>
      <t>los más actuales no se han considerado</t>
    </r>
    <r>
      <rPr>
        <rFont val="Calibri"/>
        <color rgb="FF000000"/>
        <sz val="11.0"/>
      </rPr>
      <t xml:space="preserve">
• El diseño es claro pero presenta </t>
    </r>
    <r>
      <rPr>
        <rFont val="Calibri"/>
        <color theme="1"/>
        <sz val="11.0"/>
        <u/>
      </rPr>
      <t>ciertas ambigüedades</t>
    </r>
    <r>
      <rPr>
        <rFont val="Calibri"/>
        <color rgb="FF000000"/>
        <sz val="11.0"/>
      </rPr>
      <t xml:space="preserve">
• El diseño propuesto cubre los requerimientos básicos definidos en etapas previas y </t>
    </r>
    <r>
      <rPr>
        <rFont val="Calibri"/>
        <color theme="1"/>
        <sz val="11.0"/>
        <u/>
      </rPr>
      <t>no existen contradicciones</t>
    </r>
  </si>
  <si>
    <r>
      <rPr>
        <rFont val="Calibri"/>
        <color theme="1"/>
        <sz val="11.0"/>
      </rPr>
      <t xml:space="preserve">• S'ha </t>
    </r>
    <r>
      <rPr>
        <rFont val="Calibri"/>
        <color theme="1"/>
        <sz val="11.0"/>
        <u/>
      </rPr>
      <t>conceptualitzat de forma bàsica</t>
    </r>
    <r>
      <rPr>
        <rFont val="Calibri"/>
        <color rgb="FF000000"/>
        <sz val="11.0"/>
      </rPr>
      <t xml:space="preserve"> la solució a assolir tenint en compte els recursos disponibles
• S'han utilitzat alguns </t>
    </r>
    <r>
      <rPr>
        <rFont val="Calibri"/>
        <color theme="1"/>
        <sz val="11.0"/>
        <u/>
      </rPr>
      <t>mètodes o patrons de disseny adequats</t>
    </r>
    <r>
      <rPr>
        <rFont val="Calibri"/>
        <color rgb="FF000000"/>
        <sz val="11.0"/>
      </rPr>
      <t xml:space="preserve"> per a cada cas, encara que </t>
    </r>
    <r>
      <rPr>
        <rFont val="Calibri"/>
        <color theme="1"/>
        <sz val="11.0"/>
        <u/>
      </rPr>
      <t>els més actuals no s'han considerat</t>
    </r>
    <r>
      <rPr>
        <rFont val="Calibri"/>
        <color rgb="FF000000"/>
        <sz val="11.0"/>
      </rPr>
      <t xml:space="preserve">
• El disseny és clar però presenta </t>
    </r>
    <r>
      <rPr>
        <rFont val="Calibri"/>
        <color theme="1"/>
        <sz val="11.0"/>
        <u/>
      </rPr>
      <t>certes ambigüitats</t>
    </r>
    <r>
      <rPr>
        <rFont val="Calibri"/>
        <color rgb="FF000000"/>
        <sz val="11.0"/>
      </rPr>
      <t xml:space="preserve">
• El disseny proposat </t>
    </r>
    <r>
      <rPr>
        <rFont val="Calibri"/>
        <color theme="1"/>
        <sz val="11.0"/>
        <u/>
      </rPr>
      <t>cobreix els requeriments bàsics</t>
    </r>
    <r>
      <rPr>
        <rFont val="Calibri"/>
        <color rgb="FF000000"/>
        <sz val="11.0"/>
      </rPr>
      <t xml:space="preserve"> definits en etapes prèvies i </t>
    </r>
    <r>
      <rPr>
        <rFont val="Calibri"/>
        <color theme="1"/>
        <sz val="11.0"/>
        <u/>
      </rPr>
      <t>no hi ha contradiccions</t>
    </r>
  </si>
  <si>
    <r>
      <rPr>
        <rFont val="Calibri"/>
        <color theme="1"/>
        <sz val="11.0"/>
      </rPr>
      <t xml:space="preserve">• The design of the solution to the problem has been conceptualized in a </t>
    </r>
    <r>
      <rPr>
        <rFont val="Calibri"/>
        <color theme="1"/>
        <sz val="11.0"/>
        <u/>
      </rPr>
      <t>basic way</t>
    </r>
    <r>
      <rPr>
        <rFont val="Calibri"/>
        <color rgb="FF000000"/>
        <sz val="11.0"/>
      </rPr>
      <t xml:space="preserve">, taking into account the available resources
• Some </t>
    </r>
    <r>
      <rPr>
        <rFont val="Calibri"/>
        <color theme="1"/>
        <sz val="11.0"/>
        <u/>
      </rPr>
      <t>appropriate design methods or patterns</t>
    </r>
    <r>
      <rPr>
        <rFont val="Calibri"/>
        <color rgb="FF000000"/>
        <sz val="11.0"/>
      </rPr>
      <t xml:space="preserve"> have been used, although the </t>
    </r>
    <r>
      <rPr>
        <rFont val="Calibri"/>
        <color theme="1"/>
        <sz val="11.0"/>
        <u/>
      </rPr>
      <t>most current</t>
    </r>
    <r>
      <rPr>
        <rFont val="Calibri"/>
        <color rgb="FF000000"/>
        <sz val="11.0"/>
      </rPr>
      <t xml:space="preserve"> ones have </t>
    </r>
    <r>
      <rPr>
        <rFont val="Calibri"/>
        <color theme="1"/>
        <sz val="11.0"/>
        <u/>
      </rPr>
      <t>not been considered</t>
    </r>
    <r>
      <rPr>
        <rFont val="Calibri"/>
        <color rgb="FF000000"/>
        <sz val="11.0"/>
      </rPr>
      <t xml:space="preserve">
• The design is clear but has </t>
    </r>
    <r>
      <rPr>
        <rFont val="Calibri"/>
        <color theme="1"/>
        <sz val="11.0"/>
        <u/>
      </rPr>
      <t>certain ambiguities</t>
    </r>
    <r>
      <rPr>
        <rFont val="Calibri"/>
        <color rgb="FF000000"/>
        <sz val="11.0"/>
      </rPr>
      <t xml:space="preserve">
• The proposed design</t>
    </r>
    <r>
      <rPr>
        <rFont val="Calibri"/>
        <color theme="1"/>
        <sz val="11.0"/>
        <u/>
      </rPr>
      <t xml:space="preserve"> covers the basic requirements</t>
    </r>
    <r>
      <rPr>
        <rFont val="Calibri"/>
        <color rgb="FF000000"/>
        <sz val="11.0"/>
      </rPr>
      <t xml:space="preserve"> defined in previous stages and there are </t>
    </r>
    <r>
      <rPr>
        <rFont val="Calibri"/>
        <color theme="1"/>
        <sz val="11.0"/>
        <u/>
      </rPr>
      <t>no contradictions</t>
    </r>
  </si>
  <si>
    <r>
      <rPr>
        <rFont val="Calibri"/>
        <color theme="1"/>
        <sz val="11.0"/>
      </rPr>
      <t xml:space="preserve">• Se ha conceptualizado de </t>
    </r>
    <r>
      <rPr>
        <rFont val="Calibri"/>
        <color theme="1"/>
        <sz val="11.0"/>
        <u/>
      </rPr>
      <t>forma básica</t>
    </r>
    <r>
      <rPr>
        <rFont val="Calibri"/>
        <color rgb="FF000000"/>
        <sz val="11.0"/>
      </rPr>
      <t xml:space="preserve"> la solución a alcanzar, aunque </t>
    </r>
    <r>
      <rPr>
        <rFont val="Calibri"/>
        <color theme="1"/>
        <sz val="11.0"/>
        <u/>
      </rPr>
      <t>no se han tenido en cuenta los recursos disponibles</t>
    </r>
    <r>
      <rPr>
        <rFont val="Calibri"/>
        <color rgb="FF000000"/>
        <sz val="11.0"/>
      </rPr>
      <t xml:space="preserve"> 
• Algunos </t>
    </r>
    <r>
      <rPr>
        <rFont val="Calibri"/>
        <color theme="1"/>
        <sz val="11.0"/>
        <u/>
      </rPr>
      <t>métodos o patrones de diseño</t>
    </r>
    <r>
      <rPr>
        <rFont val="Calibri"/>
        <color rgb="FF000000"/>
        <sz val="11.0"/>
      </rPr>
      <t xml:space="preserve"> utilizados </t>
    </r>
    <r>
      <rPr>
        <rFont val="Calibri"/>
        <color theme="1"/>
        <sz val="11.0"/>
        <u/>
      </rPr>
      <t>no son correctos</t>
    </r>
    <r>
      <rPr>
        <rFont val="Calibri"/>
        <color rgb="FF000000"/>
        <sz val="11.0"/>
      </rPr>
      <t xml:space="preserve"> o están </t>
    </r>
    <r>
      <rPr>
        <rFont val="Calibri"/>
        <color theme="1"/>
        <sz val="11.0"/>
        <u/>
      </rPr>
      <t>desactualizados</t>
    </r>
    <r>
      <rPr>
        <rFont val="Calibri"/>
        <color rgb="FF000000"/>
        <sz val="11.0"/>
      </rPr>
      <t xml:space="preserve">
• El diseño propuesto </t>
    </r>
    <r>
      <rPr>
        <rFont val="Calibri"/>
        <color theme="1"/>
        <sz val="11.0"/>
        <u/>
      </rPr>
      <t>no cubre todos los requerimientos básicos</t>
    </r>
    <r>
      <rPr>
        <rFont val="Calibri"/>
        <color rgb="FF000000"/>
        <sz val="11.0"/>
      </rPr>
      <t xml:space="preserve"> definidos en etapas previas o </t>
    </r>
    <r>
      <rPr>
        <rFont val="Calibri"/>
        <color theme="1"/>
        <sz val="11.0"/>
        <u/>
      </rPr>
      <t>existen contradicciones</t>
    </r>
  </si>
  <si>
    <r>
      <rPr>
        <rFont val="Calibri"/>
        <color theme="1"/>
        <sz val="11.0"/>
      </rPr>
      <t xml:space="preserve">• S'ha conceptualitzat de </t>
    </r>
    <r>
      <rPr>
        <rFont val="Calibri"/>
        <color theme="1"/>
        <sz val="11.0"/>
        <u/>
      </rPr>
      <t>forma bàsica</t>
    </r>
    <r>
      <rPr>
        <rFont val="Calibri"/>
        <color rgb="FF000000"/>
        <sz val="11.0"/>
      </rPr>
      <t xml:space="preserve"> la solució a assolir, encara que </t>
    </r>
    <r>
      <rPr>
        <rFont val="Calibri"/>
        <color theme="1"/>
        <sz val="11.0"/>
        <u/>
      </rPr>
      <t>no s'han tingut en compte els recursos disponibles</t>
    </r>
    <r>
      <rPr>
        <rFont val="Calibri"/>
        <color rgb="FF000000"/>
        <sz val="11.0"/>
      </rPr>
      <t xml:space="preserve">
• Alguns </t>
    </r>
    <r>
      <rPr>
        <rFont val="Calibri"/>
        <color theme="1"/>
        <sz val="11.0"/>
        <u/>
      </rPr>
      <t>mètodes o patrons de disseny</t>
    </r>
    <r>
      <rPr>
        <rFont val="Calibri"/>
        <color rgb="FF000000"/>
        <sz val="11.0"/>
      </rPr>
      <t xml:space="preserve"> utilitzats </t>
    </r>
    <r>
      <rPr>
        <rFont val="Calibri"/>
        <color theme="1"/>
        <sz val="11.0"/>
        <u/>
      </rPr>
      <t>no són correctes</t>
    </r>
    <r>
      <rPr>
        <rFont val="Calibri"/>
        <color rgb="FF000000"/>
        <sz val="11.0"/>
      </rPr>
      <t xml:space="preserve"> o estan </t>
    </r>
    <r>
      <rPr>
        <rFont val="Calibri"/>
        <color theme="1"/>
        <sz val="11.0"/>
        <u/>
      </rPr>
      <t>desactualitzats</t>
    </r>
    <r>
      <rPr>
        <rFont val="Calibri"/>
        <color rgb="FF000000"/>
        <sz val="11.0"/>
      </rPr>
      <t xml:space="preserve">
• El disseny proposat </t>
    </r>
    <r>
      <rPr>
        <rFont val="Calibri"/>
        <color theme="1"/>
        <sz val="11.0"/>
        <u/>
      </rPr>
      <t>no cobreix tots els requeriments bàsics</t>
    </r>
    <r>
      <rPr>
        <rFont val="Calibri"/>
        <color rgb="FF000000"/>
        <sz val="11.0"/>
      </rPr>
      <t xml:space="preserve"> definits en etapes prèvies o </t>
    </r>
    <r>
      <rPr>
        <rFont val="Calibri"/>
        <color theme="1"/>
        <sz val="11.0"/>
        <u/>
      </rPr>
      <t>existeixen contradiccions</t>
    </r>
  </si>
  <si>
    <r>
      <rPr>
        <rFont val="Calibri"/>
        <color theme="1"/>
        <sz val="11.0"/>
      </rPr>
      <t xml:space="preserve">• The solution has been conceptualized in a </t>
    </r>
    <r>
      <rPr>
        <rFont val="Calibri"/>
        <color theme="1"/>
        <sz val="11.0"/>
        <u/>
      </rPr>
      <t>basic way</t>
    </r>
    <r>
      <rPr>
        <rFont val="Calibri"/>
        <color rgb="FF000000"/>
        <sz val="11.0"/>
      </rPr>
      <t xml:space="preserve">, although the </t>
    </r>
    <r>
      <rPr>
        <rFont val="Calibri"/>
        <color theme="1"/>
        <sz val="11.0"/>
        <u/>
      </rPr>
      <t>available resources have not been taken into account</t>
    </r>
    <r>
      <rPr>
        <rFont val="Calibri"/>
        <color rgb="FF000000"/>
        <sz val="11.0"/>
      </rPr>
      <t xml:space="preserve">
• Some </t>
    </r>
    <r>
      <rPr>
        <rFont val="Calibri"/>
        <color theme="1"/>
        <sz val="11.0"/>
        <u/>
      </rPr>
      <t>methods or design patterns</t>
    </r>
    <r>
      <rPr>
        <rFont val="Calibri"/>
        <color rgb="FF000000"/>
        <sz val="11.0"/>
      </rPr>
      <t xml:space="preserve"> used are </t>
    </r>
    <r>
      <rPr>
        <rFont val="Calibri"/>
        <color theme="1"/>
        <sz val="11.0"/>
        <u/>
      </rPr>
      <t xml:space="preserve">incorrect </t>
    </r>
    <r>
      <rPr>
        <rFont val="Calibri"/>
        <color rgb="FF000000"/>
        <sz val="11.0"/>
      </rPr>
      <t xml:space="preserve">or </t>
    </r>
    <r>
      <rPr>
        <rFont val="Calibri"/>
        <color theme="1"/>
        <sz val="11.0"/>
        <u/>
      </rPr>
      <t>out of date</t>
    </r>
    <r>
      <rPr>
        <rFont val="Calibri"/>
        <color rgb="FF000000"/>
        <sz val="11.0"/>
      </rPr>
      <t xml:space="preserve">
• The proposed design does </t>
    </r>
    <r>
      <rPr>
        <rFont val="Calibri"/>
        <color theme="1"/>
        <sz val="11.0"/>
        <u/>
      </rPr>
      <t>not cover all the basic requirements</t>
    </r>
    <r>
      <rPr>
        <rFont val="Calibri"/>
        <color rgb="FF000000"/>
        <sz val="11.0"/>
      </rPr>
      <t xml:space="preserve"> defined in previous stages or there are </t>
    </r>
    <r>
      <rPr>
        <rFont val="Calibri"/>
        <color theme="1"/>
        <sz val="11.0"/>
        <u/>
      </rPr>
      <t>contradictions</t>
    </r>
  </si>
  <si>
    <r>
      <rPr>
        <rFont val="Calibri"/>
        <color theme="1"/>
        <sz val="11.0"/>
      </rPr>
      <t xml:space="preserve">• </t>
    </r>
    <r>
      <rPr>
        <rFont val="Calibri"/>
        <color theme="1"/>
        <sz val="11.0"/>
        <u/>
      </rPr>
      <t>No se ha conceptualizado de forma básica la solución</t>
    </r>
    <r>
      <rPr>
        <rFont val="Calibri"/>
        <color rgb="FF000000"/>
        <sz val="11.0"/>
      </rPr>
      <t xml:space="preserve"> a alcanzar 
• El diseño propuesto </t>
    </r>
    <r>
      <rPr>
        <rFont val="Calibri"/>
        <color theme="1"/>
        <sz val="11.0"/>
        <u/>
      </rPr>
      <t>no cubre los requerimientos básicos</t>
    </r>
    <r>
      <rPr>
        <rFont val="Calibri"/>
        <color rgb="FF000000"/>
        <sz val="11.0"/>
      </rPr>
      <t xml:space="preserve"> extraídos en etapas previas</t>
    </r>
  </si>
  <si>
    <r>
      <rPr>
        <rFont val="Calibri"/>
        <color theme="1"/>
        <sz val="11.0"/>
      </rPr>
      <t xml:space="preserve">• </t>
    </r>
    <r>
      <rPr>
        <rFont val="Calibri"/>
        <color theme="1"/>
        <sz val="11.0"/>
        <u/>
      </rPr>
      <t>No s'ha conceptualitzat de forma bàsica la solució</t>
    </r>
    <r>
      <rPr>
        <rFont val="Calibri"/>
        <color rgb="FF000000"/>
        <sz val="11.0"/>
      </rPr>
      <t xml:space="preserve"> a assolir
• El disseny proposat </t>
    </r>
    <r>
      <rPr>
        <rFont val="Calibri"/>
        <color theme="1"/>
        <sz val="11.0"/>
        <u/>
      </rPr>
      <t>no cobreix els requeriments bàsics</t>
    </r>
    <r>
      <rPr>
        <rFont val="Calibri"/>
        <color rgb="FF000000"/>
        <sz val="11.0"/>
      </rPr>
      <t xml:space="preserve"> extrets en etapes prèvies</t>
    </r>
  </si>
  <si>
    <r>
      <rPr>
        <rFont val="Calibri"/>
        <color theme="1"/>
        <sz val="11.0"/>
      </rPr>
      <t xml:space="preserve">• The solution has </t>
    </r>
    <r>
      <rPr>
        <rFont val="Calibri"/>
        <color theme="1"/>
        <sz val="11.0"/>
        <u/>
      </rPr>
      <t>not been conceptualized in a basic way</t>
    </r>
    <r>
      <rPr>
        <rFont val="Calibri"/>
        <color rgb="FF000000"/>
        <sz val="11.0"/>
      </rPr>
      <t xml:space="preserve">
• The proposed design does </t>
    </r>
    <r>
      <rPr>
        <rFont val="Calibri"/>
        <color theme="1"/>
        <sz val="11.0"/>
        <u/>
      </rPr>
      <t>not cover the basic requirements</t>
    </r>
    <r>
      <rPr>
        <rFont val="Calibri"/>
        <color rgb="FF000000"/>
        <sz val="11.0"/>
      </rPr>
      <t xml:space="preserve"> extracted in previous stages</t>
    </r>
  </si>
  <si>
    <t>Elección de herramientas, tecnologías y fuentes de información adecuadas para el desarrollo del trabajo</t>
  </si>
  <si>
    <t>Elecció d'eines, tecnologies i fonts d'informació adequades per al desenvolupament del treball</t>
  </si>
  <si>
    <t>Choice of tools, technologies and information sources for the development of the project</t>
  </si>
  <si>
    <r>
      <rPr>
        <rFont val="Calibri"/>
        <color theme="1"/>
        <sz val="11.0"/>
      </rPr>
      <t xml:space="preserve">• Se seleccionan los recursos y la información a utilizar con </t>
    </r>
    <r>
      <rPr>
        <rFont val="Calibri"/>
        <color theme="1"/>
        <sz val="11.0"/>
        <u/>
      </rPr>
      <t>rigor</t>
    </r>
    <r>
      <rPr>
        <rFont val="Calibri"/>
        <color rgb="FF000000"/>
        <sz val="11.0"/>
      </rPr>
      <t xml:space="preserve"> en fuentes especializadas afines a la temática del trabajo, evaluando el nivel de</t>
    </r>
    <r>
      <rPr>
        <rFont val="Calibri"/>
        <color theme="1"/>
        <sz val="11.0"/>
        <u/>
      </rPr>
      <t xml:space="preserve"> fiabilidad y credibilidad</t>
    </r>
    <r>
      <rPr>
        <rFont val="Calibri"/>
        <color rgb="FF000000"/>
        <sz val="11.0"/>
      </rPr>
      <t xml:space="preserve"> de las diferentes fuentes 
• Se han utilizado correctamente las </t>
    </r>
    <r>
      <rPr>
        <rFont val="Calibri"/>
        <color theme="1"/>
        <sz val="11.0"/>
        <u/>
      </rPr>
      <t>herramientas básicas para tratar la información y organizar el trabajo</t>
    </r>
    <r>
      <rPr>
        <rFont val="Calibri"/>
        <color rgb="FF000000"/>
        <sz val="11.0"/>
      </rPr>
      <t xml:space="preserve"> (word, excel, herramientas de gestión de proyectos, etc. ) 
• Se ha hecho una </t>
    </r>
    <r>
      <rPr>
        <rFont val="Calibri"/>
        <color theme="1"/>
        <sz val="11.0"/>
        <u/>
      </rPr>
      <t>evaluación de diferentes herramientas</t>
    </r>
    <r>
      <rPr>
        <rFont val="Calibri"/>
        <color rgb="FF000000"/>
        <sz val="11.0"/>
      </rPr>
      <t xml:space="preserve"> para llevar a cabo el trabajo propias del campo de estudio, y se han </t>
    </r>
    <r>
      <rPr>
        <rFont val="Calibri"/>
        <color theme="1"/>
        <sz val="11.0"/>
        <u/>
      </rPr>
      <t>escogido las herramientas más adecuadas</t>
    </r>
    <r>
      <rPr>
        <rFont val="Calibri"/>
        <color rgb="FF000000"/>
        <sz val="11.0"/>
      </rPr>
      <t xml:space="preserve">
• Se han empleado </t>
    </r>
    <r>
      <rPr>
        <rFont val="Calibri"/>
        <color theme="1"/>
        <sz val="11.0"/>
        <u/>
      </rPr>
      <t>herramientas del estado del arte</t>
    </r>
    <r>
      <rPr>
        <rFont val="Calibri"/>
        <color rgb="FF000000"/>
        <sz val="11.0"/>
      </rPr>
      <t xml:space="preserve"> del campo de estudio que han llevado a la realización de un trabajo de </t>
    </r>
    <r>
      <rPr>
        <rFont val="Calibri"/>
        <color theme="1"/>
        <sz val="11.0"/>
        <u/>
      </rPr>
      <t>forma innovadora</t>
    </r>
  </si>
  <si>
    <r>
      <rPr>
        <rFont val="Calibri"/>
        <color theme="1"/>
        <sz val="11.0"/>
      </rPr>
      <t xml:space="preserve">• Es seleccionen els recursos i la informació a utilitzar amb </t>
    </r>
    <r>
      <rPr>
        <rFont val="Calibri"/>
        <color theme="1"/>
        <sz val="11.0"/>
        <u/>
      </rPr>
      <t>rigor</t>
    </r>
    <r>
      <rPr>
        <rFont val="Calibri"/>
        <color rgb="FF000000"/>
        <sz val="11.0"/>
      </rPr>
      <t xml:space="preserve"> en </t>
    </r>
    <r>
      <rPr>
        <rFont val="Calibri"/>
        <color theme="1"/>
        <sz val="11.0"/>
        <u/>
      </rPr>
      <t>fonts especialitzades</t>
    </r>
    <r>
      <rPr>
        <rFont val="Calibri"/>
        <color rgb="FF000000"/>
        <sz val="11.0"/>
      </rPr>
      <t xml:space="preserve"> afins a la temàtica de la feina, avaluant el nivell de</t>
    </r>
    <r>
      <rPr>
        <rFont val="Calibri"/>
        <color theme="1"/>
        <sz val="11.0"/>
        <u/>
      </rPr>
      <t xml:space="preserve"> fiabilitat i credibilitat</t>
    </r>
    <r>
      <rPr>
        <rFont val="Calibri"/>
        <color rgb="FF000000"/>
        <sz val="11.0"/>
      </rPr>
      <t xml:space="preserve"> de les diferents fonts
• S'han utilitzat correctament les </t>
    </r>
    <r>
      <rPr>
        <rFont val="Calibri"/>
        <color theme="1"/>
        <sz val="11.0"/>
        <u/>
      </rPr>
      <t>eines bàsiques per tractar la informació i organitzar el treball</t>
    </r>
    <r>
      <rPr>
        <rFont val="Calibri"/>
        <color rgb="FF000000"/>
        <sz val="11.0"/>
      </rPr>
      <t xml:space="preserve"> (word, excel, eines de gestió de projectes, etc.)
• S'ha fet una </t>
    </r>
    <r>
      <rPr>
        <rFont val="Calibri"/>
        <color theme="1"/>
        <sz val="11.0"/>
        <u/>
      </rPr>
      <t>avaluació de diferents eines</t>
    </r>
    <r>
      <rPr>
        <rFont val="Calibri"/>
        <color rgb="FF000000"/>
        <sz val="11.0"/>
      </rPr>
      <t xml:space="preserve"> per dur a terme el treball pròpies del camp d'estudi, i s'han escollit les </t>
    </r>
    <r>
      <rPr>
        <rFont val="Calibri"/>
        <color theme="1"/>
        <sz val="11.0"/>
        <u/>
      </rPr>
      <t xml:space="preserve">eines més adequades
</t>
    </r>
    <r>
      <rPr>
        <rFont val="Calibri"/>
        <color rgb="FF000000"/>
        <sz val="11.0"/>
      </rPr>
      <t xml:space="preserve">• S'han emprat </t>
    </r>
    <r>
      <rPr>
        <rFont val="Calibri"/>
        <color theme="1"/>
        <sz val="11.0"/>
        <u/>
      </rPr>
      <t>eines de l'estat de l'art</t>
    </r>
    <r>
      <rPr>
        <rFont val="Calibri"/>
        <color rgb="FF000000"/>
        <sz val="11.0"/>
      </rPr>
      <t xml:space="preserve"> del camp d'estudi que han portat a la realització d'un treball de forma </t>
    </r>
    <r>
      <rPr>
        <rFont val="Calibri"/>
        <color theme="1"/>
        <sz val="11.0"/>
        <u/>
      </rPr>
      <t>innovadora</t>
    </r>
  </si>
  <si>
    <r>
      <rPr>
        <rFont val="Calibri"/>
        <color theme="1"/>
        <sz val="11.0"/>
      </rPr>
      <t xml:space="preserve">• The resources and information are </t>
    </r>
    <r>
      <rPr>
        <rFont val="Calibri"/>
        <color theme="1"/>
        <sz val="11.0"/>
        <u/>
      </rPr>
      <t>rigorously selected</t>
    </r>
    <r>
      <rPr>
        <rFont val="Calibri"/>
        <color rgb="FF000000"/>
        <sz val="11.0"/>
      </rPr>
      <t xml:space="preserve"> from </t>
    </r>
    <r>
      <rPr>
        <rFont val="Calibri"/>
        <color theme="1"/>
        <sz val="11.0"/>
        <u/>
      </rPr>
      <t>specialized sources</t>
    </r>
    <r>
      <rPr>
        <rFont val="Calibri"/>
        <color rgb="FF000000"/>
        <sz val="11.0"/>
      </rPr>
      <t xml:space="preserve">. The level of </t>
    </r>
    <r>
      <rPr>
        <rFont val="Calibri"/>
        <color theme="1"/>
        <sz val="11.0"/>
        <u/>
      </rPr>
      <t>reliability and credibility of the sources</t>
    </r>
    <r>
      <rPr>
        <rFont val="Calibri"/>
        <color rgb="FF000000"/>
        <sz val="11.0"/>
      </rPr>
      <t xml:space="preserve"> has been evaluated
• The </t>
    </r>
    <r>
      <rPr>
        <rFont val="Calibri"/>
        <color theme="1"/>
        <sz val="11.0"/>
        <u/>
      </rPr>
      <t>basic tools for processing information and organizing work</t>
    </r>
    <r>
      <rPr>
        <rFont val="Calibri"/>
        <color rgb="FF000000"/>
        <sz val="11.0"/>
      </rPr>
      <t xml:space="preserve"> (e.g. word, excel, project management tools) have been used correctly
• Different </t>
    </r>
    <r>
      <rPr>
        <rFont val="Calibri"/>
        <color theme="1"/>
        <sz val="11.0"/>
        <u/>
      </rPr>
      <t>tools</t>
    </r>
    <r>
      <rPr>
        <rFont val="Calibri"/>
        <color rgb="FF000000"/>
        <sz val="11.0"/>
      </rPr>
      <t xml:space="preserve"> to execute the project have been </t>
    </r>
    <r>
      <rPr>
        <rFont val="Calibri"/>
        <color theme="1"/>
        <sz val="11.0"/>
        <u/>
      </rPr>
      <t>evaluated</t>
    </r>
    <r>
      <rPr>
        <rFont val="Calibri"/>
        <color rgb="FF000000"/>
        <sz val="11.0"/>
      </rPr>
      <t xml:space="preserve"> and the most </t>
    </r>
    <r>
      <rPr>
        <rFont val="Calibri"/>
        <color theme="1"/>
        <sz val="11.0"/>
        <u/>
      </rPr>
      <t>appropriate have been chosen</t>
    </r>
    <r>
      <rPr>
        <rFont val="Calibri"/>
        <color rgb="FF000000"/>
        <sz val="11.0"/>
      </rPr>
      <t xml:space="preserve">
• The used </t>
    </r>
    <r>
      <rPr>
        <rFont val="Calibri"/>
        <color theme="1"/>
        <sz val="11.0"/>
        <u/>
      </rPr>
      <t>tools are state-of-the-art</t>
    </r>
    <r>
      <rPr>
        <rFont val="Calibri"/>
        <color rgb="FF000000"/>
        <sz val="11.0"/>
      </rPr>
      <t xml:space="preserve"> in the field of study and have contributed to the completion of project in an </t>
    </r>
    <r>
      <rPr>
        <rFont val="Calibri"/>
        <color theme="1"/>
        <sz val="11.0"/>
        <u/>
      </rPr>
      <t>innovative way</t>
    </r>
  </si>
  <si>
    <r>
      <rPr>
        <rFont val="Calibri"/>
        <color theme="1"/>
        <sz val="11.0"/>
      </rPr>
      <t xml:space="preserve">• Se seleccionan los recursos y la información a utilizar con rigor en fuentes especializadas afines a la temática del trabajo, evaluando el nivel de fiabilidad y credibilidad de las diferentes fuentes  
• Se han utilizado correctamente las herramientas básicas para tratar la información y organizar el trabajo (word, excel, herramientas de gestión de proyectos, etc. ) 
• Se ha hecho una evaluación de diferentes herramientas para llevar a cabo el trabajo propias del campo de estudio, y se han escogido las herramientas más adecuadas
• El uso de las herramientas escogidas </t>
    </r>
    <r>
      <rPr>
        <rFont val="Calibri"/>
        <color theme="1"/>
        <sz val="11.0"/>
        <u/>
      </rPr>
      <t>no incorpora ningún grado de innovación</t>
    </r>
    <r>
      <rPr>
        <rFont val="Calibri"/>
        <color rgb="FF000000"/>
        <sz val="11.0"/>
      </rPr>
      <t xml:space="preserve"> respecto trabajos previos</t>
    </r>
  </si>
  <si>
    <r>
      <rPr>
        <rFont val="Calibri"/>
        <color theme="1"/>
        <sz val="11.0"/>
      </rPr>
      <t xml:space="preserve">• Es seleccionen els recursos i la informació a utilitzar amb rigor en fonts especialitzades afins a la temàtica de la feina, avaluant el nivell de fiabilitat i credibilitat de les diferents fonts
• S'han utilitzat correctament les eines bàsiques per tractar la informació i organitzar el treball (word, excel, eines de gestió de projectes, etc.)
• S'ha fet una avaluació de diferents eines per dur a terme el treball pròpies del camp d'estudi, i s'han escollit les eines més adequades
• L'ús de les eines escollides </t>
    </r>
    <r>
      <rPr>
        <rFont val="Calibri"/>
        <color theme="1"/>
        <sz val="11.0"/>
        <u/>
      </rPr>
      <t>no incorpora cap grau d'innovació</t>
    </r>
    <r>
      <rPr>
        <rFont val="Calibri"/>
        <color rgb="FF000000"/>
        <sz val="11.0"/>
      </rPr>
      <t xml:space="preserve"> respecte treballs previs</t>
    </r>
  </si>
  <si>
    <r>
      <rPr>
        <rFont val="Calibri"/>
        <color theme="1"/>
        <sz val="11.0"/>
      </rPr>
      <t xml:space="preserve">• The resources and information are rigorously selected from specialized sources. The level of reliability and credibility of the sources has been evaluated
• The basic tools for processing information and organizing work (e.g. word, excel, project management tools) have been used correctly
• Different tools to execute the project have been evaluated and the most appropriate have been chosen
• The use of the chosen tools </t>
    </r>
    <r>
      <rPr>
        <rFont val="Calibri"/>
        <color theme="1"/>
        <sz val="11.0"/>
        <u/>
      </rPr>
      <t>does not incorporate any degree of innovation</t>
    </r>
    <r>
      <rPr>
        <rFont val="Calibri"/>
        <color rgb="FF000000"/>
        <sz val="11.0"/>
      </rPr>
      <t xml:space="preserve"> with respect to previous works</t>
    </r>
  </si>
  <si>
    <r>
      <rPr>
        <rFont val="Calibri"/>
        <color theme="1"/>
        <sz val="11.0"/>
      </rPr>
      <t xml:space="preserve">• Se seleccionan los recursos y la información a utilizar de las fuentes especializadas más importantes afines a la temática del trabajo, aunque </t>
    </r>
    <r>
      <rPr>
        <rFont val="Calibri"/>
        <color theme="1"/>
        <sz val="11.0"/>
        <u/>
      </rPr>
      <t>se presta poca atención a otras fuentes o a las fuentes más actuales</t>
    </r>
    <r>
      <rPr>
        <rFont val="Calibri"/>
        <color rgb="FF000000"/>
        <sz val="11.0"/>
      </rPr>
      <t xml:space="preserve">
• Se han utilizado algunas </t>
    </r>
    <r>
      <rPr>
        <rFont val="Calibri"/>
        <color theme="1"/>
        <sz val="11.0"/>
        <u/>
      </rPr>
      <t>herramientas para tratar la información y organizar el trabajo</t>
    </r>
    <r>
      <rPr>
        <rFont val="Calibri"/>
        <color rgb="FF000000"/>
        <sz val="11.0"/>
      </rPr>
      <t xml:space="preserve"> de forma básica pero </t>
    </r>
    <r>
      <rPr>
        <rFont val="Calibri"/>
        <color theme="1"/>
        <sz val="11.0"/>
        <u/>
      </rPr>
      <t>podían haberse usado herramientas más adecuadas</t>
    </r>
    <r>
      <rPr>
        <rFont val="Calibri"/>
        <color rgb="FF000000"/>
        <sz val="11.0"/>
      </rPr>
      <t xml:space="preserve"> (word, excel, herramientas de gestión de proyectos, etc. ) 
• Se han </t>
    </r>
    <r>
      <rPr>
        <rFont val="Calibri"/>
        <color theme="1"/>
        <sz val="11.0"/>
        <u/>
      </rPr>
      <t>escogido y empleado correctamente las herramientas básicas para el desarrollo del proyecto</t>
    </r>
  </si>
  <si>
    <r>
      <rPr>
        <rFont val="Calibri"/>
        <color theme="1"/>
        <sz val="11.0"/>
      </rPr>
      <t>• Es seleccionen els recursos i la informació a utilitzar de les fonts especialitzades més importants afins a la temàtica de la feina, encara que</t>
    </r>
    <r>
      <rPr>
        <rFont val="Calibri"/>
        <color theme="1"/>
        <sz val="11.0"/>
        <u/>
      </rPr>
      <t xml:space="preserve"> es presta poca atenció a altres fonts o a les fonts més actuals</t>
    </r>
    <r>
      <rPr>
        <rFont val="Calibri"/>
        <color rgb="FF000000"/>
        <sz val="11.0"/>
      </rPr>
      <t xml:space="preserve">
• S'han utilitzat algunes </t>
    </r>
    <r>
      <rPr>
        <rFont val="Calibri"/>
        <color theme="1"/>
        <sz val="11.0"/>
        <u/>
      </rPr>
      <t>eines per tractar la informació i organitzar el treball</t>
    </r>
    <r>
      <rPr>
        <rFont val="Calibri"/>
        <color rgb="FF000000"/>
        <sz val="11.0"/>
      </rPr>
      <t xml:space="preserve"> de manera bàsica però </t>
    </r>
    <r>
      <rPr>
        <rFont val="Calibri"/>
        <color theme="1"/>
        <sz val="11.0"/>
        <u/>
      </rPr>
      <t>podien haver-se fet servir eines més adequades</t>
    </r>
    <r>
      <rPr>
        <rFont val="Calibri"/>
        <color rgb="FF000000"/>
        <sz val="11.0"/>
      </rPr>
      <t xml:space="preserve"> (word, excel, eines de gestió de projectes, etc.)
• S'han </t>
    </r>
    <r>
      <rPr>
        <rFont val="Calibri"/>
        <color theme="1"/>
        <sz val="11.0"/>
        <u/>
      </rPr>
      <t>escollit i emprat correctament les eines bàsiques per al desenvolupament del projecte</t>
    </r>
  </si>
  <si>
    <r>
      <rPr>
        <rFont val="Calibri"/>
        <color theme="1"/>
        <sz val="11.0"/>
      </rPr>
      <t xml:space="preserve">• The resources and information are selected from the most important specialized sources related to the topic of the project, although </t>
    </r>
    <r>
      <rPr>
        <rFont val="Calibri"/>
        <color theme="1"/>
        <sz val="11.0"/>
        <u/>
      </rPr>
      <t>little attention has been paid to other sources or to the most updated sources</t>
    </r>
    <r>
      <rPr>
        <rFont val="Calibri"/>
        <color rgb="FF000000"/>
        <sz val="11.0"/>
      </rPr>
      <t xml:space="preserve">
• Some </t>
    </r>
    <r>
      <rPr>
        <rFont val="Calibri"/>
        <color theme="1"/>
        <sz val="11.0"/>
        <u/>
      </rPr>
      <t>tools to process information and organize the work</t>
    </r>
    <r>
      <rPr>
        <rFont val="Calibri"/>
        <color rgb="FF000000"/>
        <sz val="11.0"/>
      </rPr>
      <t xml:space="preserve"> have been used in a basic way, but </t>
    </r>
    <r>
      <rPr>
        <rFont val="Calibri"/>
        <color theme="1"/>
        <sz val="11.0"/>
        <u/>
      </rPr>
      <t>more appropriate tools could have been chosen</t>
    </r>
    <r>
      <rPr>
        <rFont val="Calibri"/>
        <color rgb="FF000000"/>
        <sz val="11.0"/>
      </rPr>
      <t xml:space="preserve"> (e.g. word, excel, project management tools)
• The </t>
    </r>
    <r>
      <rPr>
        <rFont val="Calibri"/>
        <color theme="1"/>
        <sz val="11.0"/>
        <u/>
      </rPr>
      <t>basic tools for the development of the project</t>
    </r>
    <r>
      <rPr>
        <rFont val="Calibri"/>
        <color rgb="FF000000"/>
        <sz val="11.0"/>
      </rPr>
      <t xml:space="preserve"> have been chosen and </t>
    </r>
    <r>
      <rPr>
        <rFont val="Calibri"/>
        <color theme="1"/>
        <sz val="11.0"/>
        <u/>
      </rPr>
      <t>used correctly</t>
    </r>
  </si>
  <si>
    <r>
      <rPr>
        <rFont val="Calibri"/>
        <color theme="1"/>
        <sz val="11.0"/>
      </rPr>
      <t xml:space="preserve">• </t>
    </r>
    <r>
      <rPr>
        <rFont val="Calibri"/>
        <color theme="1"/>
        <sz val="11.0"/>
        <u/>
      </rPr>
      <t>No se han utilizado de forma adecuada herramientas para tratar la información u organizar el trabajo</t>
    </r>
    <r>
      <rPr>
        <rFont val="Calibri"/>
        <color rgb="FF000000"/>
        <sz val="11.0"/>
      </rPr>
      <t xml:space="preserve"> (word, excel, herramientas de gestión de proyectos, etc. ) 
• </t>
    </r>
    <r>
      <rPr>
        <rFont val="Calibri"/>
        <color theme="1"/>
        <sz val="11.0"/>
        <u/>
      </rPr>
      <t>No se han escogido de forma estudiada las herramientas a utilizar para el desarrollo del proyecto</t>
    </r>
    <r>
      <rPr>
        <rFont val="Calibri"/>
        <color rgb="FF000000"/>
        <sz val="11.0"/>
      </rPr>
      <t xml:space="preserve">, pero las que se han empleado se han </t>
    </r>
    <r>
      <rPr>
        <rFont val="Calibri"/>
        <color theme="1"/>
        <sz val="11.0"/>
        <u/>
      </rPr>
      <t>usado correctamente</t>
    </r>
  </si>
  <si>
    <r>
      <rPr>
        <rFont val="Calibri"/>
        <color theme="1"/>
        <sz val="11.0"/>
      </rPr>
      <t xml:space="preserve">• </t>
    </r>
    <r>
      <rPr>
        <rFont val="Calibri"/>
        <color theme="1"/>
        <sz val="11.0"/>
        <u/>
      </rPr>
      <t>No s'han utilitzat de forma adequada eines per tractar la informació o organitzar el treball</t>
    </r>
    <r>
      <rPr>
        <rFont val="Calibri"/>
        <color rgb="FF000000"/>
        <sz val="11.0"/>
      </rPr>
      <t xml:space="preserve"> (word, excel, eines de gestió de projectes, etc.)
• </t>
    </r>
    <r>
      <rPr>
        <rFont val="Calibri"/>
        <color theme="1"/>
        <sz val="11.0"/>
        <u/>
      </rPr>
      <t>No s'han escollit de forma estudiada les eines a utilitzar per al desenvolupament del projecte</t>
    </r>
    <r>
      <rPr>
        <rFont val="Calibri"/>
        <color rgb="FF000000"/>
        <sz val="11.0"/>
      </rPr>
      <t xml:space="preserve">, però les que s'han emprat </t>
    </r>
    <r>
      <rPr>
        <rFont val="Calibri"/>
        <color theme="1"/>
        <sz val="11.0"/>
        <u/>
      </rPr>
      <t>s'han fet servir correctament</t>
    </r>
  </si>
  <si>
    <r>
      <rPr>
        <rFont val="Calibri"/>
        <color theme="1"/>
        <sz val="11.0"/>
      </rPr>
      <t>• The selected</t>
    </r>
    <r>
      <rPr>
        <rFont val="Calibri"/>
        <color theme="1"/>
        <sz val="11.0"/>
        <u/>
      </rPr>
      <t xml:space="preserve"> tools to process information or organize work have not been used adequately</t>
    </r>
    <r>
      <rPr>
        <rFont val="Calibri"/>
        <color rgb="FF000000"/>
        <sz val="11.0"/>
      </rPr>
      <t xml:space="preserve"> (e.g. word, excel, project management tools)
• The selected </t>
    </r>
    <r>
      <rPr>
        <rFont val="Calibri"/>
        <color theme="1"/>
        <sz val="11.0"/>
        <u/>
      </rPr>
      <t>tools for the development of the project have not been carefully chosen</t>
    </r>
    <r>
      <rPr>
        <rFont val="Calibri"/>
        <color rgb="FF000000"/>
        <sz val="11.0"/>
      </rPr>
      <t xml:space="preserve">, but they have been </t>
    </r>
    <r>
      <rPr>
        <rFont val="Calibri"/>
        <color theme="1"/>
        <sz val="11.0"/>
        <u/>
      </rPr>
      <t>used correctly</t>
    </r>
  </si>
  <si>
    <r>
      <rPr>
        <rFont val="Calibri"/>
        <color theme="1"/>
        <sz val="11.0"/>
      </rPr>
      <t xml:space="preserve">• </t>
    </r>
    <r>
      <rPr>
        <rFont val="Calibri"/>
        <color theme="1"/>
        <sz val="11.0"/>
        <u/>
      </rPr>
      <t>No</t>
    </r>
    <r>
      <rPr>
        <rFont val="Calibri"/>
        <color rgb="FF000000"/>
        <sz val="11.0"/>
      </rPr>
      <t xml:space="preserve"> se utilizan </t>
    </r>
    <r>
      <rPr>
        <rFont val="Calibri"/>
        <color theme="1"/>
        <sz val="11.0"/>
        <u/>
      </rPr>
      <t>fuentes de información o recursos clave</t>
    </r>
    <r>
      <rPr>
        <rFont val="Calibri"/>
        <color rgb="FF000000"/>
        <sz val="11.0"/>
      </rPr>
      <t xml:space="preserve"> para la elaboración del proyecto
• </t>
    </r>
    <r>
      <rPr>
        <rFont val="Calibri"/>
        <color theme="1"/>
        <sz val="11.0"/>
        <u/>
      </rPr>
      <t>No se han utilizado herramientas apropiadas para tratar la información ni para organizar el trabajo</t>
    </r>
    <r>
      <rPr>
        <rFont val="Calibri"/>
        <color rgb="FF000000"/>
        <sz val="11.0"/>
      </rPr>
      <t xml:space="preserve"> (word, excel, herramientas de gestión de proyectos, etc. ) 
• </t>
    </r>
    <r>
      <rPr>
        <rFont val="Calibri"/>
        <color theme="1"/>
        <sz val="11.0"/>
        <u/>
      </rPr>
      <t>No se han empleado correctamente las herramientas necesarias para el desarrollo del proyecto</t>
    </r>
  </si>
  <si>
    <r>
      <rPr>
        <rFont val="Calibri"/>
        <color theme="1"/>
        <sz val="11.0"/>
      </rPr>
      <t xml:space="preserve">• </t>
    </r>
    <r>
      <rPr>
        <rFont val="Calibri"/>
        <color theme="1"/>
        <sz val="11.0"/>
        <u/>
      </rPr>
      <t>No</t>
    </r>
    <r>
      <rPr>
        <rFont val="Calibri"/>
        <color rgb="FF000000"/>
        <sz val="11.0"/>
      </rPr>
      <t xml:space="preserve"> s'utilitzen </t>
    </r>
    <r>
      <rPr>
        <rFont val="Calibri"/>
        <color theme="1"/>
        <sz val="11.0"/>
        <u/>
      </rPr>
      <t>fonts d'informació o recursos clau</t>
    </r>
    <r>
      <rPr>
        <rFont val="Calibri"/>
        <color rgb="FF000000"/>
        <sz val="11.0"/>
      </rPr>
      <t xml:space="preserve"> per a l'elaboració del projecte
• </t>
    </r>
    <r>
      <rPr>
        <rFont val="Calibri"/>
        <color theme="1"/>
        <sz val="11.0"/>
        <u/>
      </rPr>
      <t>No s'han utilitzat eines apropiades per tractar la informació ni per organitzar el treball</t>
    </r>
    <r>
      <rPr>
        <rFont val="Calibri"/>
        <color rgb="FF000000"/>
        <sz val="11.0"/>
      </rPr>
      <t xml:space="preserve"> (word, excel, eines de gestió de projectes, etc.)
• </t>
    </r>
    <r>
      <rPr>
        <rFont val="Calibri"/>
        <color theme="1"/>
        <sz val="11.0"/>
        <u/>
      </rPr>
      <t>No s'han emprat correctament les eines necessàries per al desenvolupament del projecte</t>
    </r>
  </si>
  <si>
    <r>
      <rPr>
        <rFont val="Calibri"/>
        <color theme="1"/>
        <sz val="11.0"/>
      </rPr>
      <t xml:space="preserve">• </t>
    </r>
    <r>
      <rPr>
        <rFont val="Calibri"/>
        <color theme="1"/>
        <sz val="11.0"/>
        <u/>
      </rPr>
      <t>Information sources or key resources</t>
    </r>
    <r>
      <rPr>
        <rFont val="Calibri"/>
        <color rgb="FF000000"/>
        <sz val="11.0"/>
      </rPr>
      <t xml:space="preserve"> are </t>
    </r>
    <r>
      <rPr>
        <rFont val="Calibri"/>
        <color theme="1"/>
        <sz val="11.0"/>
        <u/>
      </rPr>
      <t>not used</t>
    </r>
    <r>
      <rPr>
        <rFont val="Calibri"/>
        <color rgb="FF000000"/>
        <sz val="11.0"/>
      </rPr>
      <t xml:space="preserve"> for the preparation of the project
• Appropriate </t>
    </r>
    <r>
      <rPr>
        <rFont val="Calibri"/>
        <color theme="1"/>
        <sz val="11.0"/>
        <u/>
      </rPr>
      <t>tools have not been used to process the information or to organize the work</t>
    </r>
    <r>
      <rPr>
        <rFont val="Calibri"/>
        <color rgb="FF000000"/>
        <sz val="11.0"/>
      </rPr>
      <t xml:space="preserve"> (e.g. word, excel, project management tools)
• The </t>
    </r>
    <r>
      <rPr>
        <rFont val="Calibri"/>
        <color theme="1"/>
        <sz val="11.0"/>
        <u/>
      </rPr>
      <t>necessary tools for the development of the project have not been used correctly</t>
    </r>
  </si>
  <si>
    <t>Grado de análisis y tratamiento del impacto ético-social, de sostenibilidad y de diversidad del trabajo</t>
  </si>
  <si>
    <t>Grau d'anàlisi i tractament de l'impacte ètico-social, de sostenibilitat i de diversitat del treball</t>
  </si>
  <si>
    <t>Degree of analysis and treatment of the ethical-social impact, sustainability and diversity aspects</t>
  </si>
  <si>
    <t>• En el caso de ser necesario, la planificación del trabajo incluye el tratamiento de los requisitos legales, éticos, de sostenibilidad y de diversidad (seguridad para personas y bienes, protección de datos personales, protección de la propiedad intelectual,...)
• Se ha realizado un estudio del impacto legal, ético, de sostenibilidad y de diversidad  del trabajo realizado si es necesario
• Se han tenido en cuenta las implicaciones relacionadas con la información publicada. Si es necesario, se ha hecho un buen tratamiento de los datos publicados, sobre todo los datos en abierto, y se han tenido en cuenta posibles problemáticas relacionadas con la privacidad y la propiedad intelectual 
• Si es necesario, el proyecto tiene en cuenta y es coherente con los Objetivos de Desarrollo Sostenible (ODS) de las Naciones Unidas</t>
  </si>
  <si>
    <t>• En cas de ser necessari, la planificació de la feina inclou el tractament dels requisits legals, ètics, de sostenibilitat i de diversitat (seguretat per a persones i béns, protecció de dades personals, protecció de la propietat intel·lectual, ...)
• S'ha realitzat un estudi de l'impacte legal, ètic, de sostenibilitat i de diversitat del treball fet si cal
• S'han tingut en compte les implicacions relacionades amb la informació publicada. Si cal, s'ha fet un bon tractament de les dades publicades, sobretot les dades en obert, tingut en compte possibles problemàtiques relacionades amb la privacitat i la propietat intel·lectual
• Si s'escau, el projecte té en compte i és coherent amb els Objectius de Desenvolupament Sostenible (ODS) de les Nacions Unides</t>
  </si>
  <si>
    <r>
      <rPr>
        <rFont val="Calibri"/>
        <color theme="1"/>
        <sz val="11.0"/>
      </rPr>
      <t xml:space="preserve">• If necessary, work planning includes </t>
    </r>
    <r>
      <rPr>
        <rFont val="Calibri"/>
        <color theme="1"/>
        <sz val="11.0"/>
        <u/>
      </rPr>
      <t>legal, ethical, sustainability and diversity requirements</t>
    </r>
    <r>
      <rPr>
        <rFont val="Calibri"/>
        <color rgb="FF000000"/>
        <sz val="11.0"/>
      </rPr>
      <t xml:space="preserve"> (e.g. safety for people and goods, protection of personal data, protection of intellectual property)
• A </t>
    </r>
    <r>
      <rPr>
        <rFont val="Calibri"/>
        <color theme="1"/>
        <sz val="11.0"/>
        <u/>
      </rPr>
      <t>study of the legal, ethical, sustainability and diversity impact</t>
    </r>
    <r>
      <rPr>
        <rFont val="Calibri"/>
        <color rgb="FF000000"/>
        <sz val="11.0"/>
      </rPr>
      <t xml:space="preserve"> of the project has been carried out, if necessary.
• The </t>
    </r>
    <r>
      <rPr>
        <rFont val="Calibri"/>
        <color theme="1"/>
        <sz val="11.0"/>
        <u/>
      </rPr>
      <t>implications regarding the published information</t>
    </r>
    <r>
      <rPr>
        <rFont val="Calibri"/>
        <color rgb="FF000000"/>
        <sz val="11.0"/>
      </rPr>
      <t xml:space="preserve"> have been studied. If necessary, </t>
    </r>
    <r>
      <rPr>
        <rFont val="Calibri"/>
        <color theme="1"/>
        <sz val="11.0"/>
        <u/>
      </rPr>
      <t>published data has been correctly treated</t>
    </r>
    <r>
      <rPr>
        <rFont val="Calibri"/>
        <color rgb="FF000000"/>
        <sz val="11.0"/>
      </rPr>
      <t xml:space="preserve">, with especial consideration for open data. Potential problems regarding </t>
    </r>
    <r>
      <rPr>
        <rFont val="Calibri"/>
        <color theme="1"/>
        <sz val="11.0"/>
        <u/>
      </rPr>
      <t>privacy and intellectual property</t>
    </r>
    <r>
      <rPr>
        <rFont val="Calibri"/>
        <color rgb="FF000000"/>
        <sz val="11.0"/>
      </rPr>
      <t xml:space="preserve"> have been taken into account
• If needed, the project takes into account and is consistent with the </t>
    </r>
    <r>
      <rPr>
        <rFont val="Calibri"/>
        <color theme="1"/>
        <sz val="11.0"/>
        <u/>
      </rPr>
      <t>United Nations Sustainable Development Goals</t>
    </r>
    <r>
      <rPr>
        <rFont val="Calibri"/>
        <color rgb="FF000000"/>
        <sz val="11.0"/>
      </rPr>
      <t xml:space="preserve"> (SDGs).</t>
    </r>
  </si>
  <si>
    <r>
      <rPr>
        <rFont val="Calibri"/>
        <color theme="1"/>
        <sz val="11.0"/>
      </rPr>
      <t xml:space="preserve">La entrega responde a la </t>
    </r>
    <r>
      <rPr>
        <rFont val="Calibri"/>
        <color theme="1"/>
        <sz val="11.0"/>
        <u/>
      </rPr>
      <t>mayoría de los siguientes puntos</t>
    </r>
    <r>
      <rPr>
        <rFont val="Calibri"/>
        <color rgb="FF000000"/>
        <sz val="11.0"/>
      </rPr>
      <t xml:space="preserve">, pero </t>
    </r>
    <r>
      <rPr>
        <rFont val="Calibri"/>
        <color theme="1"/>
        <sz val="11.0"/>
        <u/>
      </rPr>
      <t>no todos</t>
    </r>
    <r>
      <rPr>
        <rFont val="Calibri"/>
        <color rgb="FF000000"/>
        <sz val="11.0"/>
      </rPr>
      <t xml:space="preserve">:
• La planificación del trabajo incluye el tratamiento de los requisitos legales, éticos, de sostenibilidad y de diversidad </t>
    </r>
    <r>
      <rPr>
        <rFont val="Calibri"/>
        <color theme="1"/>
        <sz val="11.0"/>
        <u/>
      </rPr>
      <t>más destacados</t>
    </r>
    <r>
      <rPr>
        <rFont val="Calibri"/>
        <color rgb="FF000000"/>
        <sz val="11.0"/>
      </rPr>
      <t xml:space="preserve"> (seguridad para personas y bienes, protección de datos personales, protección de la propiedad intelectual,...), con  un nivel de profundidad adecuado
• Se ha realizado un estudio del impacto legal, ético, de sostenibilidad y de diversidad del trabajo realizado si es necesario
• Se han tenido en cuenta </t>
    </r>
    <r>
      <rPr>
        <rFont val="Calibri"/>
        <color theme="1"/>
        <sz val="11.0"/>
        <u/>
      </rPr>
      <t>algunas</t>
    </r>
    <r>
      <rPr>
        <rFont val="Calibri"/>
        <color rgb="FF000000"/>
        <sz val="11.0"/>
      </rPr>
      <t xml:space="preserve"> de las implicaciones relacionadas con la información publicada. Si es necesario, se ha hecho un tratamiento básico de los datos publicados, sobre todo los datos en abierto, y se han tenido en cuenta las </t>
    </r>
    <r>
      <rPr>
        <rFont val="Calibri"/>
        <color theme="1"/>
        <sz val="11.0"/>
        <u/>
      </rPr>
      <t>problemáticas más importantes</t>
    </r>
    <r>
      <rPr>
        <rFont val="Calibri"/>
        <color rgb="FF000000"/>
        <sz val="11.0"/>
      </rPr>
      <t xml:space="preserve"> relacionadas con la privacidad y la propiedad intelectual 
• Si es necesario, el proyecto tiene en cuenta y es coherente con los Objetivos de Desarrollo Sostenible (ODS) de las Naciones Unidas</t>
    </r>
  </si>
  <si>
    <r>
      <rPr>
        <rFont val="Calibri"/>
        <color theme="1"/>
        <sz val="11.0"/>
      </rPr>
      <t xml:space="preserve">El lliurament respon a la </t>
    </r>
    <r>
      <rPr>
        <rFont val="Calibri"/>
        <color theme="1"/>
        <sz val="11.0"/>
        <u/>
      </rPr>
      <t>majoria dels següents punts</t>
    </r>
    <r>
      <rPr>
        <rFont val="Calibri"/>
        <color rgb="FF000000"/>
        <sz val="11.0"/>
      </rPr>
      <t xml:space="preserve">, però </t>
    </r>
    <r>
      <rPr>
        <rFont val="Calibri"/>
        <color theme="1"/>
        <sz val="11.0"/>
        <u/>
      </rPr>
      <t>no tots</t>
    </r>
    <r>
      <rPr>
        <rFont val="Calibri"/>
        <color rgb="FF000000"/>
        <sz val="11.0"/>
      </rPr>
      <t xml:space="preserve">:
• La planificació del treball inclou el tractament dels requisits legals, ètics, de sostenibilitat i de diversitat </t>
    </r>
    <r>
      <rPr>
        <rFont val="Calibri"/>
        <color theme="1"/>
        <sz val="11.0"/>
        <u/>
      </rPr>
      <t>més destacats</t>
    </r>
    <r>
      <rPr>
        <rFont val="Calibri"/>
        <color rgb="FF000000"/>
        <sz val="11.0"/>
      </rPr>
      <t xml:space="preserve"> (seguretat per a persones i béns, protecció de dades personals, protecció de la propietat intel·lectual, ...), amb un nivell de profunditat adequat
• S'ha realitzat un estudi de l'impacte legal, ètic, de sostenibilitat i de diversitat de la feina feta si cal
• S'han tingut en compte </t>
    </r>
    <r>
      <rPr>
        <rFont val="Calibri"/>
        <color theme="1"/>
        <sz val="11.0"/>
        <u/>
      </rPr>
      <t>algunes</t>
    </r>
    <r>
      <rPr>
        <rFont val="Calibri"/>
        <color rgb="FF000000"/>
        <sz val="11.0"/>
      </rPr>
      <t xml:space="preserve"> de les implicacions relacionades amb la informació publicada. Si cal, s'ha fet un </t>
    </r>
    <r>
      <rPr>
        <rFont val="Calibri"/>
        <color theme="1"/>
        <sz val="11.0"/>
        <u/>
      </rPr>
      <t>tractament bàsic</t>
    </r>
    <r>
      <rPr>
        <rFont val="Calibri"/>
        <color rgb="FF000000"/>
        <sz val="11.0"/>
      </rPr>
      <t xml:space="preserve"> de les dades publicades, sobretot les dades en obert, s'han tingut en compte les </t>
    </r>
    <r>
      <rPr>
        <rFont val="Calibri"/>
        <color theme="1"/>
        <sz val="11.0"/>
        <u/>
      </rPr>
      <t>problemàtiques més importants</t>
    </r>
    <r>
      <rPr>
        <rFont val="Calibri"/>
        <color rgb="FF000000"/>
        <sz val="11.0"/>
      </rPr>
      <t xml:space="preserve"> relacionades amb la privacitat i la propietat intel·lectual
• Si s'escau, el projecte té en compte i és coherent amb els Objectius de Desenvolupament Sostenible (ODS) de les Nacions Unides</t>
    </r>
  </si>
  <si>
    <r>
      <rPr>
        <rFont val="Calibri"/>
        <color theme="1"/>
        <sz val="11.0"/>
      </rPr>
      <t xml:space="preserve">The submission answers </t>
    </r>
    <r>
      <rPr>
        <rFont val="Calibri"/>
        <color theme="1"/>
        <sz val="11.0"/>
        <u/>
      </rPr>
      <t>most of the following points</t>
    </r>
    <r>
      <rPr>
        <rFont val="Calibri"/>
        <color rgb="FF000000"/>
        <sz val="11.0"/>
      </rPr>
      <t xml:space="preserve">, but </t>
    </r>
    <r>
      <rPr>
        <rFont val="Calibri"/>
        <color theme="1"/>
        <sz val="11.0"/>
        <u/>
      </rPr>
      <t>not all</t>
    </r>
    <r>
      <rPr>
        <rFont val="Calibri"/>
        <color rgb="FF000000"/>
        <sz val="11.0"/>
      </rPr>
      <t>:
• Work planning includes the</t>
    </r>
    <r>
      <rPr>
        <rFont val="Calibri"/>
        <color theme="1"/>
        <sz val="11.0"/>
        <u/>
      </rPr>
      <t xml:space="preserve"> most important</t>
    </r>
    <r>
      <rPr>
        <rFont val="Calibri"/>
        <color rgb="FF000000"/>
        <sz val="11.0"/>
      </rPr>
      <t xml:space="preserve"> legal, ethical, sustainability and diversity requirements (e.g. safety for people and goods, protection of personal data, protection of intellectual property)
• A study of the legal, ethical, sustainability and diversity impact of the project has been carried out, if necessary.
• </t>
    </r>
    <r>
      <rPr>
        <rFont val="Calibri"/>
        <color theme="1"/>
        <sz val="11.0"/>
        <u/>
      </rPr>
      <t>Some</t>
    </r>
    <r>
      <rPr>
        <rFont val="Calibri"/>
        <color rgb="FF000000"/>
        <sz val="11.0"/>
      </rPr>
      <t xml:space="preserve"> implications regarding the published information have been studied. If necessary, published data has been treated </t>
    </r>
    <r>
      <rPr>
        <rFont val="Calibri"/>
        <color theme="1"/>
        <sz val="11.0"/>
        <u/>
      </rPr>
      <t>in a basic way</t>
    </r>
    <r>
      <rPr>
        <rFont val="Calibri"/>
        <color rgb="FF000000"/>
        <sz val="11.0"/>
      </rPr>
      <t xml:space="preserve">, with especial consideration for open data. The </t>
    </r>
    <r>
      <rPr>
        <rFont val="Calibri"/>
        <color theme="1"/>
        <sz val="11.0"/>
        <u/>
      </rPr>
      <t>basic</t>
    </r>
    <r>
      <rPr>
        <rFont val="Calibri"/>
        <color rgb="FF000000"/>
        <sz val="11.0"/>
      </rPr>
      <t xml:space="preserve"> potential problems regarding privacy and intellectual property have been taken into account
• If needed, the project takes into account and is consistent with the United Nations Sustainable Development Goals (SDGs).</t>
    </r>
  </si>
  <si>
    <r>
      <rPr>
        <rFont val="Calibri"/>
        <color theme="1"/>
        <sz val="11.0"/>
      </rPr>
      <t xml:space="preserve">• La planificación del trabajo incluye el tratamiento de los requisitos legales, éticos, de sostenibilidad y de diversidad </t>
    </r>
    <r>
      <rPr>
        <rFont val="Calibri"/>
        <color theme="1"/>
        <sz val="11.0"/>
        <u/>
      </rPr>
      <t>más básicos</t>
    </r>
    <r>
      <rPr>
        <rFont val="Calibri"/>
        <color rgb="FF000000"/>
        <sz val="11.0"/>
      </rPr>
      <t xml:space="preserve">, pero </t>
    </r>
    <r>
      <rPr>
        <rFont val="Calibri"/>
        <color theme="1"/>
        <sz val="11.0"/>
        <u/>
      </rPr>
      <t>podría detallarse mucho más</t>
    </r>
    <r>
      <rPr>
        <rFont val="Calibri"/>
        <color rgb="FF000000"/>
        <sz val="11.0"/>
      </rPr>
      <t xml:space="preserve"> 
• Se ha realizado un </t>
    </r>
    <r>
      <rPr>
        <rFont val="Calibri"/>
        <color theme="1"/>
        <sz val="11.0"/>
        <u/>
      </rPr>
      <t>estudio básico</t>
    </r>
    <r>
      <rPr>
        <rFont val="Calibri"/>
        <color rgb="FF000000"/>
        <sz val="11.0"/>
      </rPr>
      <t xml:space="preserve"> del impacto legal, ético, de sostenibilidad y de diversidad del trabajo realizado si es necesario
• Se han tenido en cuenta las </t>
    </r>
    <r>
      <rPr>
        <rFont val="Calibri"/>
        <color theme="1"/>
        <sz val="11.0"/>
        <u/>
      </rPr>
      <t>implicaciones básicas</t>
    </r>
    <r>
      <rPr>
        <rFont val="Calibri"/>
        <color rgb="FF000000"/>
        <sz val="11.0"/>
      </rPr>
      <t xml:space="preserve"> relacionadas con la información publicada. Si es necesario, se ha hecho un tratamiento básico de los datos publicados, sobre todo los datos en abierto, pero </t>
    </r>
    <r>
      <rPr>
        <rFont val="Calibri"/>
        <color theme="1"/>
        <sz val="11.0"/>
        <u/>
      </rPr>
      <t>no</t>
    </r>
    <r>
      <rPr>
        <rFont val="Calibri"/>
        <color rgb="FF000000"/>
        <sz val="11.0"/>
      </rPr>
      <t xml:space="preserve"> se ha tenido en cuenta las problemáticas más importantes relacionadas con la privacidad y la propiedad intelectual</t>
    </r>
  </si>
  <si>
    <r>
      <rPr>
        <rFont val="Calibri"/>
        <color theme="1"/>
        <sz val="11.0"/>
      </rPr>
      <t xml:space="preserve">• La planificació del treball inclou el tractament dels requisits legals, ètics, de sostenibilitat i de diversitat </t>
    </r>
    <r>
      <rPr>
        <rFont val="Calibri"/>
        <color theme="1"/>
        <sz val="11.0"/>
        <u/>
      </rPr>
      <t>més bàsics</t>
    </r>
    <r>
      <rPr>
        <rFont val="Calibri"/>
        <color rgb="FF000000"/>
        <sz val="11.0"/>
      </rPr>
      <t xml:space="preserve">, però </t>
    </r>
    <r>
      <rPr>
        <rFont val="Calibri"/>
        <color theme="1"/>
        <sz val="11.0"/>
        <u/>
      </rPr>
      <t>podrien detallar-se molt més</t>
    </r>
    <r>
      <rPr>
        <rFont val="Calibri"/>
        <color rgb="FF000000"/>
        <sz val="11.0"/>
      </rPr>
      <t xml:space="preserve">
• S'ha realitzat un </t>
    </r>
    <r>
      <rPr>
        <rFont val="Calibri"/>
        <color theme="1"/>
        <sz val="11.0"/>
        <u/>
      </rPr>
      <t>estudi bàsic</t>
    </r>
    <r>
      <rPr>
        <rFont val="Calibri"/>
        <color rgb="FF000000"/>
        <sz val="11.0"/>
      </rPr>
      <t xml:space="preserve"> de l'impacte legal, ètic, de sostenibilitat i de diversitat del treball fet si cal
• S'han tingut en compte les </t>
    </r>
    <r>
      <rPr>
        <rFont val="Calibri"/>
        <color theme="1"/>
        <sz val="11.0"/>
        <u/>
      </rPr>
      <t>implicacions bàsiques</t>
    </r>
    <r>
      <rPr>
        <rFont val="Calibri"/>
        <color rgb="FF000000"/>
        <sz val="11.0"/>
      </rPr>
      <t xml:space="preserve"> relacionades amb la informació publicada. Si cal, s'ha fet un tractament bàsic de les dades publicades, sobretot les dades en obert, però </t>
    </r>
    <r>
      <rPr>
        <rFont val="Calibri"/>
        <color theme="1"/>
        <sz val="11.0"/>
        <u/>
      </rPr>
      <t>no</t>
    </r>
    <r>
      <rPr>
        <rFont val="Calibri"/>
        <color rgb="FF000000"/>
        <sz val="11.0"/>
      </rPr>
      <t xml:space="preserve"> s'han tingut en compte les problemàtiques més importants relacionades amb la privacitat i la propietat intel·lectual</t>
    </r>
  </si>
  <si>
    <r>
      <rPr>
        <rFont val="Calibri"/>
        <color theme="1"/>
        <sz val="11.0"/>
      </rPr>
      <t xml:space="preserve">• Work planning includes the </t>
    </r>
    <r>
      <rPr>
        <rFont val="Calibri"/>
        <color theme="1"/>
        <sz val="11.0"/>
        <u/>
      </rPr>
      <t>most basic</t>
    </r>
    <r>
      <rPr>
        <rFont val="Calibri"/>
        <color rgb="FF000000"/>
        <sz val="11.0"/>
      </rPr>
      <t xml:space="preserve"> legal, ethical, sustainability and diversity requirements, but </t>
    </r>
    <r>
      <rPr>
        <rFont val="Calibri"/>
        <color theme="1"/>
        <sz val="11.0"/>
        <u/>
      </rPr>
      <t>could be much more detailed</t>
    </r>
    <r>
      <rPr>
        <rFont val="Calibri"/>
        <color rgb="FF000000"/>
        <sz val="11.0"/>
      </rPr>
      <t xml:space="preserve">
• A </t>
    </r>
    <r>
      <rPr>
        <rFont val="Calibri"/>
        <color theme="1"/>
        <sz val="11.0"/>
        <u/>
      </rPr>
      <t>basic study</t>
    </r>
    <r>
      <rPr>
        <rFont val="Calibri"/>
        <color rgb="FF000000"/>
        <sz val="11.0"/>
      </rPr>
      <t xml:space="preserve"> of the legal, ethical, sustainability and diversity impact of the project has been carried out, if necessary.
• The </t>
    </r>
    <r>
      <rPr>
        <rFont val="Calibri"/>
        <color theme="1"/>
        <sz val="11.0"/>
        <u/>
      </rPr>
      <t>basic</t>
    </r>
    <r>
      <rPr>
        <rFont val="Calibri"/>
        <color rgb="FF000000"/>
        <sz val="11.0"/>
      </rPr>
      <t xml:space="preserve"> implications related to the published information have been taken into account. If necessary, published data has been treated in a basic way, with especial consideration for open data. The basic potential problems regarding privacy and intellectual property have </t>
    </r>
    <r>
      <rPr>
        <rFont val="Calibri"/>
        <color theme="1"/>
        <sz val="11.0"/>
        <u/>
      </rPr>
      <t>not</t>
    </r>
    <r>
      <rPr>
        <rFont val="Calibri"/>
        <color rgb="FF000000"/>
        <sz val="11.0"/>
      </rPr>
      <t xml:space="preserve"> been taken into account</t>
    </r>
  </si>
  <si>
    <r>
      <rPr>
        <rFont val="Calibri"/>
        <color theme="1"/>
        <sz val="11.0"/>
      </rPr>
      <t xml:space="preserve">En general, el trabajo del/de la estudiante se puede describir con </t>
    </r>
    <r>
      <rPr>
        <rFont val="Calibri"/>
        <color theme="1"/>
        <sz val="11.0"/>
        <u/>
      </rPr>
      <t>varias de las siguientes afirmaciones</t>
    </r>
    <r>
      <rPr>
        <rFont val="Calibri"/>
        <color rgb="FF000000"/>
        <sz val="11.0"/>
      </rPr>
      <t xml:space="preserve">:
• La planificación del trabajo </t>
    </r>
    <r>
      <rPr>
        <rFont val="Calibri"/>
        <color theme="1"/>
        <sz val="11.0"/>
        <u/>
      </rPr>
      <t>no</t>
    </r>
    <r>
      <rPr>
        <rFont val="Calibri"/>
        <color rgb="FF000000"/>
        <sz val="11.0"/>
      </rPr>
      <t xml:space="preserve"> incluye el tratamiento de los requisitos legales, éticos, de sostenibilidad y de diversidad más básicos (seguridad para personas y bienes, protección de datos personales, protección de la propiedad intelectual,...)
• Siendo necesario, </t>
    </r>
    <r>
      <rPr>
        <rFont val="Calibri"/>
        <color theme="1"/>
        <sz val="11.0"/>
        <u/>
      </rPr>
      <t>no</t>
    </r>
    <r>
      <rPr>
        <rFont val="Calibri"/>
        <color rgb="FF000000"/>
        <sz val="11.0"/>
      </rPr>
      <t xml:space="preserve"> se ha realizado un estudio básico del impacto legal, ético, de sostenibilidad y de diversidad del trabajo realizado 
• </t>
    </r>
    <r>
      <rPr>
        <rFont val="Calibri"/>
        <color theme="1"/>
        <sz val="11.0"/>
        <u/>
      </rPr>
      <t>No</t>
    </r>
    <r>
      <rPr>
        <rFont val="Calibri"/>
        <color rgb="FF000000"/>
        <sz val="11.0"/>
      </rPr>
      <t xml:space="preserve"> se han tenido en cuenta las implicaciones básicas relacionadas con la información publicada. Siendo necesario, </t>
    </r>
    <r>
      <rPr>
        <rFont val="Calibri"/>
        <color theme="1"/>
        <sz val="11.0"/>
        <u/>
      </rPr>
      <t>no</t>
    </r>
    <r>
      <rPr>
        <rFont val="Calibri"/>
        <color rgb="FF000000"/>
        <sz val="11.0"/>
      </rPr>
      <t xml:space="preserve"> se ha hecho un tratamiento básico de los datos publicados, sobre todo los datos en abierto, o </t>
    </r>
    <r>
      <rPr>
        <rFont val="Calibri"/>
        <color theme="1"/>
        <sz val="11.0"/>
        <u/>
      </rPr>
      <t>no</t>
    </r>
    <r>
      <rPr>
        <rFont val="Calibri"/>
        <color rgb="FF000000"/>
        <sz val="11.0"/>
      </rPr>
      <t xml:space="preserve"> se ha tenido en cuenta las problemáticas más importantes relacionadas con la privacidad y la propiedad intelectual</t>
    </r>
  </si>
  <si>
    <r>
      <rPr>
        <rFont val="Calibri"/>
        <color theme="1"/>
        <sz val="11.0"/>
      </rPr>
      <t xml:space="preserve">En general, el treball de l'estudiant es pot descriure amb </t>
    </r>
    <r>
      <rPr>
        <rFont val="Calibri"/>
        <color theme="1"/>
        <sz val="11.0"/>
        <u/>
      </rPr>
      <t>diverses de les següents afirmacions</t>
    </r>
    <r>
      <rPr>
        <rFont val="Calibri"/>
        <color rgb="FF000000"/>
        <sz val="11.0"/>
      </rPr>
      <t xml:space="preserve">:
• La planificació del treball </t>
    </r>
    <r>
      <rPr>
        <rFont val="Calibri"/>
        <color theme="1"/>
        <sz val="11.0"/>
        <u/>
      </rPr>
      <t>no inclou</t>
    </r>
    <r>
      <rPr>
        <rFont val="Calibri"/>
        <color rgb="FF000000"/>
        <sz val="11.0"/>
      </rPr>
      <t xml:space="preserve"> el tractament dels requisits legals, ètics, de sostenibilitat i de diversitat més bàsics (seguretat per a persones i béns, protecció de dades personals, protecció de la propietat intel·lectual, ...)
• Sent necessari, </t>
    </r>
    <r>
      <rPr>
        <rFont val="Calibri"/>
        <color theme="1"/>
        <sz val="11.0"/>
        <u/>
      </rPr>
      <t>no</t>
    </r>
    <r>
      <rPr>
        <rFont val="Calibri"/>
        <color rgb="FF000000"/>
        <sz val="11.0"/>
      </rPr>
      <t xml:space="preserve"> s'ha realitzat un estudi bàsic de l'impacte legal, ètic, de sostenibilitat i de diversitat del treball realitzat
• </t>
    </r>
    <r>
      <rPr>
        <rFont val="Calibri"/>
        <color theme="1"/>
        <sz val="11.0"/>
        <u/>
      </rPr>
      <t>No</t>
    </r>
    <r>
      <rPr>
        <rFont val="Calibri"/>
        <color rgb="FF000000"/>
        <sz val="11.0"/>
      </rPr>
      <t xml:space="preserve"> s'han tingut en compte les implicacions bàsiques relacionades amb la informació publicada. Sent necessari, </t>
    </r>
    <r>
      <rPr>
        <rFont val="Calibri"/>
        <color theme="1"/>
        <sz val="11.0"/>
        <u/>
      </rPr>
      <t>no</t>
    </r>
    <r>
      <rPr>
        <rFont val="Calibri"/>
        <color rgb="FF000000"/>
        <sz val="11.0"/>
      </rPr>
      <t xml:space="preserve"> s'ha fet un tractament bàsic de les dades publicades, sobretot les dades en obert, o </t>
    </r>
    <r>
      <rPr>
        <rFont val="Calibri"/>
        <color theme="1"/>
        <sz val="11.0"/>
        <u/>
      </rPr>
      <t>no</t>
    </r>
    <r>
      <rPr>
        <rFont val="Calibri"/>
        <color rgb="FF000000"/>
        <sz val="11.0"/>
      </rPr>
      <t xml:space="preserve"> s'han tingut en compte les problemàtiques més importants relacionades amb la privacitat i la propietat intel·lectual</t>
    </r>
  </si>
  <si>
    <r>
      <rPr>
        <rFont val="Calibri"/>
        <color theme="1"/>
        <sz val="11.0"/>
      </rPr>
      <t xml:space="preserve">In general, the submission can be described with </t>
    </r>
    <r>
      <rPr>
        <rFont val="Calibri"/>
        <color theme="1"/>
        <sz val="11.0"/>
        <u/>
      </rPr>
      <t>several of the following statements</t>
    </r>
    <r>
      <rPr>
        <rFont val="Calibri"/>
        <color rgb="FF000000"/>
        <sz val="11.0"/>
      </rPr>
      <t xml:space="preserve">:
• Work planning </t>
    </r>
    <r>
      <rPr>
        <rFont val="Calibri"/>
        <color theme="1"/>
        <sz val="11.0"/>
        <u/>
      </rPr>
      <t>does not include</t>
    </r>
    <r>
      <rPr>
        <rFont val="Calibri"/>
        <color rgb="FF000000"/>
        <sz val="11.0"/>
      </rPr>
      <t xml:space="preserve"> the most basic legal, ethical, sustainability and diversity requirements (e.g. safety for people and goods, protection of personal data, protection of intellectual property)
• Being necessary, a basic study of the legal, ethical, sustainability and diversity impact of the project has </t>
    </r>
    <r>
      <rPr>
        <rFont val="Calibri"/>
        <color theme="1"/>
        <sz val="11.0"/>
        <u/>
      </rPr>
      <t>not been carried out</t>
    </r>
    <r>
      <rPr>
        <rFont val="Calibri"/>
        <color rgb="FF000000"/>
        <sz val="11.0"/>
      </rPr>
      <t xml:space="preserve">.
• The basic implications related to the published information have </t>
    </r>
    <r>
      <rPr>
        <rFont val="Calibri"/>
        <color theme="1"/>
        <sz val="11.0"/>
        <u/>
      </rPr>
      <t>not</t>
    </r>
    <r>
      <rPr>
        <rFont val="Calibri"/>
        <color rgb="FF000000"/>
        <sz val="11.0"/>
      </rPr>
      <t xml:space="preserve"> been taken into account. Although necessary, a basic treatment of the published data has </t>
    </r>
    <r>
      <rPr>
        <rFont val="Calibri"/>
        <color theme="1"/>
        <sz val="11.0"/>
        <u/>
      </rPr>
      <t>not</t>
    </r>
    <r>
      <rPr>
        <rFont val="Calibri"/>
        <color rgb="FF000000"/>
        <sz val="11.0"/>
      </rPr>
      <t xml:space="preserve"> been carried out, especially open data, or the most important problems related to privacy and intellectual property have </t>
    </r>
    <r>
      <rPr>
        <rFont val="Calibri"/>
        <color theme="1"/>
        <sz val="11.0"/>
        <u/>
      </rPr>
      <t>not</t>
    </r>
    <r>
      <rPr>
        <rFont val="Calibri"/>
        <color rgb="FF000000"/>
        <sz val="11.0"/>
      </rPr>
      <t xml:space="preserve"> been taken into account.</t>
    </r>
  </si>
  <si>
    <r>
      <rPr>
        <rFont val="Calibri"/>
        <color theme="1"/>
        <sz val="11.0"/>
      </rPr>
      <t xml:space="preserve">El trabajo del/de la estudiante se ajusta a </t>
    </r>
    <r>
      <rPr>
        <rFont val="Calibri"/>
        <color theme="1"/>
        <sz val="11.0"/>
        <u/>
      </rPr>
      <t>todas</t>
    </r>
    <r>
      <rPr>
        <rFont val="Calibri"/>
        <color rgb="FF000000"/>
        <sz val="11.0"/>
      </rPr>
      <t xml:space="preserve"> las descripciones siguientes:
• La planificación del trabajo no incluye el tratamiento de los requisitos legales, éticos, de sostenibilidad y de diversidad más básicos (seguridad para personas y bienes, protección de datos personales, protección de la propiedad intelectual,...)
• Siendo necesario, no se ha realizado un estudio básico del impacto legal, ético, de sostenibilidad y de diversidad del trabajo realizado 
• No se han tenido en cuenta las implicaciones básicas relacionadas con la información publicada. Siendo necesario, no se ha hecho un tratamiento básico de los datos publicados, sobre todo los datos en abierto, o no se ha tenido en cuenta las problemáticas más importantes relacionadas con la privacidad y la propiedad intelectual</t>
    </r>
  </si>
  <si>
    <r>
      <rPr>
        <rFont val="Calibri"/>
        <color theme="1"/>
        <sz val="11.0"/>
      </rPr>
      <t xml:space="preserve">El treball de l'estudiant s'ajusta a </t>
    </r>
    <r>
      <rPr>
        <rFont val="Calibri"/>
        <color theme="1"/>
        <sz val="11.0"/>
        <u/>
      </rPr>
      <t>totes</t>
    </r>
    <r>
      <rPr>
        <rFont val="Calibri"/>
        <color rgb="FF000000"/>
        <sz val="11.0"/>
      </rPr>
      <t xml:space="preserve"> les descripcions següents:
• La planificació del treball no inclou el tractament dels requisits legals, ètics, de sostenibilitat i de diversitat més bàsics (seguretat per a persones i béns, protecció de dades personals, protecció de la propietat intel·lectual, ...)
• Sent necessari, no s'ha realitzat un estudi bàsic de l'impacte legal, ètic, de sostenibilitat i de diversitat del treball realitzat
• No s'han tingut en compte les implicacions bàsiques relacionades amb la informació publicada. Sent necessari, no s'ha fet un tractament bàsic de les dades publicades, sobretot les dades en obert, o no s'ha tingut en compte les problemàtiques més importants relacionades amb la privacitat i la propietat intel·lectual</t>
    </r>
  </si>
  <si>
    <r>
      <rPr>
        <rFont val="Calibri"/>
        <color theme="1"/>
        <sz val="11.0"/>
      </rPr>
      <t xml:space="preserve">The submission fits </t>
    </r>
    <r>
      <rPr>
        <rFont val="Calibri"/>
        <color theme="1"/>
        <sz val="11.0"/>
        <u/>
      </rPr>
      <t>all</t>
    </r>
    <r>
      <rPr>
        <rFont val="Calibri"/>
        <color rgb="FF000000"/>
        <sz val="11.0"/>
      </rPr>
      <t xml:space="preserve"> of the following descriptions:
• Work planning does not include the most basic legal, ethical, sustainability and diversity requirements (e.g. safety for people and goods, protection of personal data, protection of intellectual property)
• Being necessary, a basic study of the legal, ethical, sustainability and diversity impact of the project has not been carried out
• The basic implications related to the published information have not been taken into account. Although necessary, a basic treatment of the published data has not been carried out, especially open data, or the most important problems related to privacy and intellectual property have not been taken into account.</t>
    </r>
  </si>
  <si>
    <t>Ejecución e implementación del proyecto</t>
  </si>
  <si>
    <t>Execució i implementació del projecte</t>
  </si>
  <si>
    <t>Execution and implementation of the project</t>
  </si>
  <si>
    <t>Seguimiento de la planificación y capacidad de adaptación</t>
  </si>
  <si>
    <t>Seguiment de la planificació i capacitat d'adaptació</t>
  </si>
  <si>
    <t>Project follow-up and student's adaptability</t>
  </si>
  <si>
    <t>• Las entregas parciales incluyen un apartado donde se compara la situación actual con la planificada
• La planificación real es cercana a la propuesta inicialmente
• Si hay cambios, estos son necesarios y adecuados, y se identifican las causas
• Las causas de las desviaciones se habían previsto en el análisis de riesgos de la planificación inicial
• Se utiliza la priorización de objetivos para la toma de decisiones</t>
  </si>
  <si>
    <r>
      <rPr>
        <rFont val="Calibri"/>
        <color theme="1"/>
        <sz val="11.0"/>
      </rPr>
      <t xml:space="preserve">• El lliurament inclou un apartat on es </t>
    </r>
    <r>
      <rPr>
        <rFont val="Calibri"/>
        <color theme="1"/>
        <sz val="11.0"/>
        <u/>
      </rPr>
      <t>compara la situació actual amb la planificada</t>
    </r>
    <r>
      <rPr>
        <rFont val="Calibri"/>
        <color rgb="FF000000"/>
        <sz val="11.0"/>
      </rPr>
      <t xml:space="preserve">
• La </t>
    </r>
    <r>
      <rPr>
        <rFont val="Calibri"/>
        <color theme="1"/>
        <sz val="11.0"/>
        <u/>
      </rPr>
      <t>planificació real és propera a la proposada inicialment</t>
    </r>
    <r>
      <rPr>
        <rFont val="Calibri"/>
        <color rgb="FF000000"/>
        <sz val="11.0"/>
      </rPr>
      <t xml:space="preserve">
• Si hi ha </t>
    </r>
    <r>
      <rPr>
        <rFont val="Calibri"/>
        <color theme="1"/>
        <sz val="11.0"/>
        <u/>
      </rPr>
      <t>canvis</t>
    </r>
    <r>
      <rPr>
        <rFont val="Calibri"/>
        <color rgb="FF000000"/>
        <sz val="11.0"/>
      </rPr>
      <t xml:space="preserve">, aquests són </t>
    </r>
    <r>
      <rPr>
        <rFont val="Calibri"/>
        <color theme="1"/>
        <sz val="11.0"/>
        <u/>
      </rPr>
      <t>necessaris i adequats</t>
    </r>
    <r>
      <rPr>
        <rFont val="Calibri"/>
        <color rgb="FF000000"/>
        <sz val="11.0"/>
      </rPr>
      <t>, i s'</t>
    </r>
    <r>
      <rPr>
        <rFont val="Calibri"/>
        <color theme="1"/>
        <sz val="11.0"/>
        <u/>
      </rPr>
      <t>identifiquen les causes</t>
    </r>
    <r>
      <rPr>
        <rFont val="Calibri"/>
        <color rgb="FF000000"/>
        <sz val="11.0"/>
      </rPr>
      <t xml:space="preserve">
• Les </t>
    </r>
    <r>
      <rPr>
        <rFont val="Calibri"/>
        <color theme="1"/>
        <sz val="11.0"/>
        <u/>
      </rPr>
      <t>causes de les desviacions s'havien previst en l'anàlisi de riscos</t>
    </r>
    <r>
      <rPr>
        <rFont val="Calibri"/>
        <color rgb="FF000000"/>
        <sz val="11.0"/>
      </rPr>
      <t xml:space="preserve"> de la planificació inicial
• S'utilitza la </t>
    </r>
    <r>
      <rPr>
        <rFont val="Calibri"/>
        <color theme="1"/>
        <sz val="11.0"/>
        <u/>
      </rPr>
      <t>priorització d'objectius per a la presa de decisions</t>
    </r>
  </si>
  <si>
    <r>
      <rPr>
        <rFont val="Calibri"/>
        <color theme="1"/>
        <sz val="11.0"/>
      </rPr>
      <t xml:space="preserve">• The submission includes a section where the </t>
    </r>
    <r>
      <rPr>
        <rFont val="Calibri"/>
        <color theme="1"/>
        <sz val="11.0"/>
        <u/>
      </rPr>
      <t>current state of the project is compared with the initial planning</t>
    </r>
    <r>
      <rPr>
        <rFont val="Calibri"/>
        <color rgb="FF000000"/>
        <sz val="11.0"/>
      </rPr>
      <t xml:space="preserve">
• The </t>
    </r>
    <r>
      <rPr>
        <rFont val="Calibri"/>
        <color theme="1"/>
        <sz val="11.0"/>
        <u/>
      </rPr>
      <t>current state of the project is close to the initial plan</t>
    </r>
    <r>
      <rPr>
        <rFont val="Calibri"/>
        <color rgb="FF000000"/>
        <sz val="11.0"/>
      </rPr>
      <t xml:space="preserve">
• If there are </t>
    </r>
    <r>
      <rPr>
        <rFont val="Calibri"/>
        <color theme="1"/>
        <sz val="11.0"/>
        <u/>
      </rPr>
      <t>changes</t>
    </r>
    <r>
      <rPr>
        <rFont val="Calibri"/>
        <color rgb="FF000000"/>
        <sz val="11.0"/>
      </rPr>
      <t xml:space="preserve">, they are </t>
    </r>
    <r>
      <rPr>
        <rFont val="Calibri"/>
        <color theme="1"/>
        <sz val="11.0"/>
        <u/>
      </rPr>
      <t>necessary and appropriate</t>
    </r>
    <r>
      <rPr>
        <rFont val="Calibri"/>
        <color rgb="FF000000"/>
        <sz val="11.0"/>
      </rPr>
      <t xml:space="preserve">, and the </t>
    </r>
    <r>
      <rPr>
        <rFont val="Calibri"/>
        <color theme="1"/>
        <sz val="11.0"/>
        <u/>
      </rPr>
      <t>causes are identified</t>
    </r>
    <r>
      <rPr>
        <rFont val="Calibri"/>
        <color rgb="FF000000"/>
        <sz val="11.0"/>
      </rPr>
      <t xml:space="preserve">
• The causes of the </t>
    </r>
    <r>
      <rPr>
        <rFont val="Calibri"/>
        <color theme="1"/>
        <sz val="11.0"/>
        <u/>
      </rPr>
      <t>deviations had been foreseen in the risk analysis</t>
    </r>
    <r>
      <rPr>
        <rFont val="Calibri"/>
        <color rgb="FF000000"/>
        <sz val="11.0"/>
      </rPr>
      <t xml:space="preserve"> of the initial planning
• The </t>
    </r>
    <r>
      <rPr>
        <rFont val="Calibri"/>
        <color theme="1"/>
        <sz val="11.0"/>
        <u/>
      </rPr>
      <t>prioritization of objectives is used for decision making</t>
    </r>
  </si>
  <si>
    <r>
      <rPr>
        <rFont val="Calibri"/>
        <color theme="1"/>
        <sz val="11.0"/>
      </rPr>
      <t xml:space="preserve">• Las entregas parciales incluyen un apartado donde se compara la situación actual con la planificada
• Hay </t>
    </r>
    <r>
      <rPr>
        <rFont val="Calibri"/>
        <color theme="1"/>
        <sz val="11.0"/>
        <u/>
      </rPr>
      <t>diferencias</t>
    </r>
    <r>
      <rPr>
        <rFont val="Calibri"/>
        <color rgb="FF000000"/>
        <sz val="11.0"/>
      </rPr>
      <t xml:space="preserve"> entre la planificación real y la propuesta, pero </t>
    </r>
    <r>
      <rPr>
        <rFont val="Calibri"/>
        <color theme="1"/>
        <sz val="11.0"/>
        <u/>
      </rPr>
      <t>no son importantes</t>
    </r>
    <r>
      <rPr>
        <rFont val="Calibri"/>
        <color rgb="FF000000"/>
        <sz val="11.0"/>
      </rPr>
      <t xml:space="preserve">
• Si hay cambios, estos son necesarios y adecuados, y se identifican las causas
• Se utiliza la priorización de objetivos para la toma de decisiones</t>
    </r>
  </si>
  <si>
    <r>
      <rPr>
        <rFont val="Calibri"/>
        <color theme="1"/>
        <sz val="11.0"/>
      </rPr>
      <t xml:space="preserve">• El lliurament inclou un apartat on es compara la situació actual amb la planificada
• Hi ha </t>
    </r>
    <r>
      <rPr>
        <rFont val="Calibri"/>
        <color theme="1"/>
        <sz val="11.0"/>
        <u/>
      </rPr>
      <t>diferències</t>
    </r>
    <r>
      <rPr>
        <rFont val="Calibri"/>
        <color rgb="FF000000"/>
        <sz val="11.0"/>
      </rPr>
      <t xml:space="preserve"> entre la planificació real i la proposada, però </t>
    </r>
    <r>
      <rPr>
        <rFont val="Calibri"/>
        <color theme="1"/>
        <sz val="11.0"/>
        <u/>
      </rPr>
      <t>no són importants</t>
    </r>
    <r>
      <rPr>
        <rFont val="Calibri"/>
        <color rgb="FF000000"/>
        <sz val="11.0"/>
      </rPr>
      <t xml:space="preserve">
• Si hi ha canvis, aquests són necessaris i adequats, i s'identifiquen les causes
• S'utilitza la priorització d'objectius per a la presa de decisions</t>
    </r>
  </si>
  <si>
    <r>
      <rPr>
        <rFont val="Calibri"/>
        <color theme="1"/>
        <sz val="11.0"/>
      </rPr>
      <t xml:space="preserve">• The submission includes a section where the current state of the project is compared with the initial planning
• There are </t>
    </r>
    <r>
      <rPr>
        <rFont val="Calibri"/>
        <color theme="1"/>
        <sz val="11.0"/>
        <u/>
      </rPr>
      <t>differences</t>
    </r>
    <r>
      <rPr>
        <rFont val="Calibri"/>
        <color rgb="FF000000"/>
        <sz val="11.0"/>
      </rPr>
      <t xml:space="preserve"> between the current state of the project and the initial planning, but they are </t>
    </r>
    <r>
      <rPr>
        <rFont val="Calibri"/>
        <color theme="1"/>
        <sz val="11.0"/>
        <u/>
      </rPr>
      <t>not important</t>
    </r>
    <r>
      <rPr>
        <rFont val="Calibri"/>
        <color rgb="FF000000"/>
        <sz val="11.0"/>
      </rPr>
      <t xml:space="preserve">
• If there are changes, they are necessary and appropriate, and the causes are identified
• The prioritization of objectives is used for decision making</t>
    </r>
  </si>
  <si>
    <r>
      <rPr>
        <rFont val="Calibri"/>
        <color theme="1"/>
        <sz val="11.0"/>
      </rPr>
      <t xml:space="preserve">• Hay diferencias entre la planificación real y la propuesta, pero no son importantes
• Los cambios son necesarios y adecuados
• </t>
    </r>
    <r>
      <rPr>
        <rFont val="Calibri"/>
        <color theme="1"/>
        <sz val="11.0"/>
        <u/>
      </rPr>
      <t>No se indican</t>
    </r>
    <r>
      <rPr>
        <rFont val="Calibri"/>
        <color rgb="FF000000"/>
        <sz val="11.0"/>
      </rPr>
      <t xml:space="preserve"> correctamente los </t>
    </r>
    <r>
      <rPr>
        <rFont val="Calibri"/>
        <color theme="1"/>
        <sz val="11.0"/>
        <u/>
      </rPr>
      <t>cambios</t>
    </r>
    <r>
      <rPr>
        <rFont val="Calibri"/>
        <color rgb="FF000000"/>
        <sz val="11.0"/>
      </rPr>
      <t xml:space="preserve"> efectuados en la planificación </t>
    </r>
    <r>
      <rPr>
        <rFont val="Calibri"/>
        <color theme="1"/>
        <sz val="11.0"/>
        <u/>
      </rPr>
      <t>o sus causas</t>
    </r>
  </si>
  <si>
    <r>
      <rPr>
        <rFont val="Calibri"/>
        <color theme="1"/>
        <sz val="11.0"/>
      </rPr>
      <t xml:space="preserve">• Hi ha diferències entre la planificació real i la proposada, però no són importants
• Els canvis són necessaris i adequats
• </t>
    </r>
    <r>
      <rPr>
        <rFont val="Calibri"/>
        <color theme="1"/>
        <sz val="11.0"/>
        <u/>
      </rPr>
      <t>No s'indiquen</t>
    </r>
    <r>
      <rPr>
        <rFont val="Calibri"/>
        <color rgb="FF000000"/>
        <sz val="11.0"/>
      </rPr>
      <t xml:space="preserve"> correctament els </t>
    </r>
    <r>
      <rPr>
        <rFont val="Calibri"/>
        <color theme="1"/>
        <sz val="11.0"/>
        <u/>
      </rPr>
      <t>canvis efectuats</t>
    </r>
    <r>
      <rPr>
        <rFont val="Calibri"/>
        <color rgb="FF000000"/>
        <sz val="11.0"/>
      </rPr>
      <t xml:space="preserve"> en la planificació </t>
    </r>
    <r>
      <rPr>
        <rFont val="Calibri"/>
        <color theme="1"/>
        <sz val="11.0"/>
        <u/>
      </rPr>
      <t>o les seves causes</t>
    </r>
  </si>
  <si>
    <r>
      <rPr>
        <rFont val="Calibri"/>
        <color theme="1"/>
        <sz val="11.0"/>
      </rPr>
      <t xml:space="preserve">• There are differences between the current state of the project and the initial planning, but they are not important
• Changes are necessary and appropriate
• The </t>
    </r>
    <r>
      <rPr>
        <rFont val="Calibri"/>
        <color theme="1"/>
        <sz val="11.0"/>
        <u/>
      </rPr>
      <t>changes</t>
    </r>
    <r>
      <rPr>
        <rFont val="Calibri"/>
        <color rgb="FF000000"/>
        <sz val="11.0"/>
      </rPr>
      <t xml:space="preserve"> made in the planning</t>
    </r>
    <r>
      <rPr>
        <rFont val="Calibri"/>
        <color theme="1"/>
        <sz val="11.0"/>
        <u/>
      </rPr>
      <t xml:space="preserve"> or their causes</t>
    </r>
    <r>
      <rPr>
        <rFont val="Calibri"/>
        <color rgb="FF000000"/>
        <sz val="11.0"/>
      </rPr>
      <t xml:space="preserve"> are </t>
    </r>
    <r>
      <rPr>
        <rFont val="Calibri"/>
        <color theme="1"/>
        <sz val="11.0"/>
        <u/>
      </rPr>
      <t>not correctly indicated</t>
    </r>
  </si>
  <si>
    <r>
      <rPr>
        <rFont val="Calibri"/>
        <color theme="1"/>
        <sz val="11.0"/>
      </rPr>
      <t xml:space="preserve">• Hay </t>
    </r>
    <r>
      <rPr>
        <rFont val="Calibri"/>
        <color theme="1"/>
        <sz val="11.0"/>
        <u/>
      </rPr>
      <t>diferencias importantes</t>
    </r>
    <r>
      <rPr>
        <rFont val="Calibri"/>
        <color rgb="FF000000"/>
        <sz val="11.0"/>
      </rPr>
      <t xml:space="preserve"> entre la planificación real y la propuesta
• Los </t>
    </r>
    <r>
      <rPr>
        <rFont val="Calibri"/>
        <color theme="1"/>
        <sz val="11.0"/>
        <u/>
      </rPr>
      <t>cambios no son necesarios o adecuados</t>
    </r>
    <r>
      <rPr>
        <rFont val="Calibri"/>
        <color rgb="FF000000"/>
        <sz val="11.0"/>
      </rPr>
      <t>, o no se identifican las causas</t>
    </r>
  </si>
  <si>
    <r>
      <rPr>
        <rFont val="Calibri"/>
        <color theme="1"/>
        <sz val="11.0"/>
      </rPr>
      <t xml:space="preserve">• Hi ha </t>
    </r>
    <r>
      <rPr>
        <rFont val="Calibri"/>
        <color theme="1"/>
        <sz val="11.0"/>
        <u/>
      </rPr>
      <t>diferències importants</t>
    </r>
    <r>
      <rPr>
        <rFont val="Calibri"/>
        <color rgb="FF000000"/>
        <sz val="11.0"/>
      </rPr>
      <t xml:space="preserve"> entre la planificació real i la proposada
• Els </t>
    </r>
    <r>
      <rPr>
        <rFont val="Calibri"/>
        <color theme="1"/>
        <sz val="11.0"/>
        <u/>
      </rPr>
      <t>canvis no són necessaris o adequats</t>
    </r>
    <r>
      <rPr>
        <rFont val="Calibri"/>
        <color rgb="FF000000"/>
        <sz val="11.0"/>
      </rPr>
      <t>, o no s'identifiquen les causes</t>
    </r>
  </si>
  <si>
    <r>
      <rPr>
        <rFont val="Calibri"/>
        <color theme="1"/>
        <sz val="11.0"/>
      </rPr>
      <t xml:space="preserve">• There are </t>
    </r>
    <r>
      <rPr>
        <rFont val="Calibri"/>
        <color theme="1"/>
        <sz val="11.0"/>
        <u/>
      </rPr>
      <t>important differences</t>
    </r>
    <r>
      <rPr>
        <rFont val="Calibri"/>
        <color rgb="FF000000"/>
        <sz val="11.0"/>
      </rPr>
      <t xml:space="preserve"> between the current state of the project and the initial planning
• The changes are </t>
    </r>
    <r>
      <rPr>
        <rFont val="Calibri"/>
        <color theme="1"/>
        <sz val="11.0"/>
        <u/>
      </rPr>
      <t>not necessary or appropriate</t>
    </r>
    <r>
      <rPr>
        <rFont val="Calibri"/>
        <color rgb="FF000000"/>
        <sz val="11.0"/>
      </rPr>
      <t xml:space="preserve">, or the </t>
    </r>
    <r>
      <rPr>
        <rFont val="Calibri"/>
        <color theme="1"/>
        <sz val="11.0"/>
        <u/>
      </rPr>
      <t>causes are not identified</t>
    </r>
  </si>
  <si>
    <r>
      <rPr>
        <rFont val="Calibri"/>
        <color theme="1"/>
        <sz val="11.0"/>
      </rPr>
      <t xml:space="preserve">• Hay </t>
    </r>
    <r>
      <rPr>
        <rFont val="Calibri"/>
        <color theme="1"/>
        <sz val="11.0"/>
        <u/>
      </rPr>
      <t>cambios claros</t>
    </r>
    <r>
      <rPr>
        <rFont val="Calibri"/>
        <color rgb="FF000000"/>
        <sz val="11.0"/>
      </rPr>
      <t xml:space="preserve"> en la planificación que no se han previsto
• Los </t>
    </r>
    <r>
      <rPr>
        <rFont val="Calibri"/>
        <color theme="1"/>
        <sz val="11.0"/>
        <u/>
      </rPr>
      <t>cambios no responden de manera clara a las necesidades imprevistas</t>
    </r>
    <r>
      <rPr>
        <rFont val="Calibri"/>
        <color rgb="FF000000"/>
        <sz val="11.0"/>
      </rPr>
      <t xml:space="preserve"> que no estaban consideradas antes</t>
    </r>
  </si>
  <si>
    <r>
      <rPr>
        <rFont val="Calibri"/>
        <color theme="1"/>
        <sz val="11.0"/>
      </rPr>
      <t xml:space="preserve">• Hi ha </t>
    </r>
    <r>
      <rPr>
        <rFont val="Calibri"/>
        <color theme="1"/>
        <sz val="11.0"/>
        <u/>
      </rPr>
      <t>canvis clars</t>
    </r>
    <r>
      <rPr>
        <rFont val="Calibri"/>
        <color rgb="FF000000"/>
        <sz val="11.0"/>
      </rPr>
      <t xml:space="preserve"> en la planificació que no s'han previst
• Els canvis </t>
    </r>
    <r>
      <rPr>
        <rFont val="Calibri"/>
        <color theme="1"/>
        <sz val="11.0"/>
        <u/>
      </rPr>
      <t>no</t>
    </r>
    <r>
      <rPr>
        <rFont val="Calibri"/>
        <color rgb="FF000000"/>
        <sz val="11.0"/>
      </rPr>
      <t xml:space="preserve"> responen de manera clara a les </t>
    </r>
    <r>
      <rPr>
        <rFont val="Calibri"/>
        <color theme="1"/>
        <sz val="11.0"/>
        <u/>
      </rPr>
      <t>necessitats imprevistes que no estaven considerades abans</t>
    </r>
  </si>
  <si>
    <r>
      <rPr>
        <rFont val="Calibri"/>
        <color theme="1"/>
        <sz val="11.0"/>
      </rPr>
      <t xml:space="preserve">• There are </t>
    </r>
    <r>
      <rPr>
        <rFont val="Calibri"/>
        <color theme="1"/>
        <sz val="11.0"/>
        <u/>
      </rPr>
      <t>important changes</t>
    </r>
    <r>
      <rPr>
        <rFont val="Calibri"/>
        <color rgb="FF000000"/>
        <sz val="11.0"/>
      </rPr>
      <t xml:space="preserve"> in planning that have not been foreseen
• Changes do </t>
    </r>
    <r>
      <rPr>
        <rFont val="Calibri"/>
        <color theme="1"/>
        <sz val="11.0"/>
        <u/>
      </rPr>
      <t>not clearly respond to unforeseen needs</t>
    </r>
    <r>
      <rPr>
        <rFont val="Calibri"/>
        <color rgb="FF000000"/>
        <sz val="11.0"/>
      </rPr>
      <t xml:space="preserve"> that were not previously considered</t>
    </r>
  </si>
  <si>
    <t xml:space="preserve">Calidad de la contribución técnica y/o científica del proyecto. Calidad de la solución/producto en desarrollo/obtenido. </t>
  </si>
  <si>
    <t>Qualitat de la contribució tècnica i/o científica del projecte. Qualitat de la solució/producte en desenvolupament/obtingut</t>
  </si>
  <si>
    <t>Quality of the technical and/or scientific contribution of the project. Quality of the solution/product</t>
  </si>
  <si>
    <r>
      <rPr>
        <rFont val="Calibri"/>
        <color theme="1"/>
        <sz val="11.0"/>
      </rPr>
      <t xml:space="preserve">• El trabajo o producto presentado </t>
    </r>
    <r>
      <rPr>
        <rFont val="Calibri"/>
        <color theme="1"/>
        <sz val="11.0"/>
        <u/>
      </rPr>
      <t>logra todos los objetivos planificados</t>
    </r>
    <r>
      <rPr>
        <rFont val="Calibri"/>
        <color rgb="FF000000"/>
        <sz val="11.0"/>
      </rPr>
      <t xml:space="preserve">
• El trabajo o producto desarrollado es de </t>
    </r>
    <r>
      <rPr>
        <rFont val="Calibri"/>
        <color theme="1"/>
        <sz val="11.0"/>
        <u/>
      </rPr>
      <t>buena calidad</t>
    </r>
    <r>
      <rPr>
        <rFont val="Calibri"/>
        <color rgb="FF000000"/>
        <sz val="11.0"/>
      </rPr>
      <t xml:space="preserve">
• El trabajo o producto desarrollado tiene una </t>
    </r>
    <r>
      <rPr>
        <rFont val="Calibri"/>
        <color theme="1"/>
        <sz val="11.0"/>
        <u/>
      </rPr>
      <t>dificultad asimilable a la que se exige en el ámbito académico o profesional</t>
    </r>
    <r>
      <rPr>
        <rFont val="Calibri"/>
        <color rgb="FF000000"/>
        <sz val="11.0"/>
      </rPr>
      <t xml:space="preserve">
• El trabajo o producto </t>
    </r>
    <r>
      <rPr>
        <rFont val="Calibri"/>
        <color theme="1"/>
        <sz val="11.0"/>
        <u/>
      </rPr>
      <t>incluye toda la información necesaria para permitir evaluar o reproducir los resultados de forma independiente</t>
    </r>
    <r>
      <rPr>
        <rFont val="Calibri"/>
        <color rgb="FF000000"/>
        <sz val="11.0"/>
      </rPr>
      <t xml:space="preserve"> (p.ej. código fuente, manual de instalación, manual de usuario, conjuntos de datos y fuentes utilizados en el estudio)</t>
    </r>
  </si>
  <si>
    <r>
      <rPr>
        <rFont val="Calibri"/>
        <color theme="1"/>
        <sz val="11.0"/>
      </rPr>
      <t xml:space="preserve">• El treball o producte presentat </t>
    </r>
    <r>
      <rPr>
        <rFont val="Calibri"/>
        <color theme="1"/>
        <sz val="11.0"/>
        <u/>
      </rPr>
      <t>assoleix tots els objectius planificats</t>
    </r>
    <r>
      <rPr>
        <rFont val="Calibri"/>
        <color rgb="FF000000"/>
        <sz val="11.0"/>
      </rPr>
      <t xml:space="preserve">
• El treball o producte desenvolupat és de </t>
    </r>
    <r>
      <rPr>
        <rFont val="Calibri"/>
        <color theme="1"/>
        <sz val="11.0"/>
        <u/>
      </rPr>
      <t>bona qualitat</t>
    </r>
    <r>
      <rPr>
        <rFont val="Calibri"/>
        <color rgb="FF000000"/>
        <sz val="11.0"/>
      </rPr>
      <t xml:space="preserve">
• El treball o producte desenvolupat té una </t>
    </r>
    <r>
      <rPr>
        <rFont val="Calibri"/>
        <color theme="1"/>
        <sz val="11.0"/>
        <u/>
      </rPr>
      <t>dificultat assimilable a la que s'exigeix en l'àmbit acadèmic o professional</t>
    </r>
    <r>
      <rPr>
        <rFont val="Calibri"/>
        <color rgb="FF000000"/>
        <sz val="11.0"/>
      </rPr>
      <t xml:space="preserve">
• El treball o producte </t>
    </r>
    <r>
      <rPr>
        <rFont val="Calibri"/>
        <color theme="1"/>
        <sz val="11.0"/>
        <u/>
      </rPr>
      <t>inclou tota la informació necessària per permetre avaluar o reproduir els resultats de forma independent</t>
    </r>
    <r>
      <rPr>
        <rFont val="Calibri"/>
        <color rgb="FF000000"/>
        <sz val="11.0"/>
      </rPr>
      <t xml:space="preserve"> (p.ex. codi font, manual d'instal·lació, manual d'usuari, conjunts de dades i fonts utilitzats en l'estudi)</t>
    </r>
  </si>
  <si>
    <t>• The presented work or the product developed achieves all the planned objectives
• The work or product is of good quality
• The work or product development has a difficulty comparable to that required in the academic or professional field
• The work or product includes all information necessary to allow the results to be independently evaluated or reproduced (e.g. source code, installation manual, user manual, data sets and sources used in the study)</t>
  </si>
  <si>
    <r>
      <rPr>
        <rFont val="Calibri"/>
        <color theme="1"/>
        <sz val="11.0"/>
      </rPr>
      <t xml:space="preserve">• El trabajo o producto presentado logra, </t>
    </r>
    <r>
      <rPr>
        <rFont val="Calibri"/>
        <color theme="1"/>
        <sz val="11.0"/>
        <u/>
      </rPr>
      <t>por lo menos, los objetivos planificados más importantes</t>
    </r>
    <r>
      <rPr>
        <rFont val="Calibri"/>
        <color rgb="FF000000"/>
        <sz val="11.0"/>
      </rPr>
      <t xml:space="preserve">
• El trabajo o producto desarrollado es de buena calidad
• El trabajo o producto desarrollado tiene una dificultad asimilable a la que se exige en el ámbito académico o profesional
• El trabajo o producto </t>
    </r>
    <r>
      <rPr>
        <rFont val="Calibri"/>
        <color theme="1"/>
        <sz val="11.0"/>
        <u/>
      </rPr>
      <t>no incluye toda la información necesaria para asistir al usuario</t>
    </r>
    <r>
      <rPr>
        <rFont val="Calibri"/>
        <color rgb="FF000000"/>
        <sz val="11.0"/>
      </rPr>
      <t xml:space="preserve"> (p.ej. falta manual de usuario), pero </t>
    </r>
    <r>
      <rPr>
        <rFont val="Calibri"/>
        <color theme="1"/>
        <sz val="11.0"/>
        <u/>
      </rPr>
      <t>incluye información suficiente para permitir evaluar</t>
    </r>
    <r>
      <rPr>
        <rFont val="Calibri"/>
        <color rgb="FF000000"/>
        <sz val="11.0"/>
      </rPr>
      <t xml:space="preserve"> o reproducir los resultados de forma independiente (p.ej. código fuente, manual de instalación, conjuntos de datos y fuentes utilizados en el estudio)</t>
    </r>
  </si>
  <si>
    <r>
      <rPr>
        <rFont val="Calibri"/>
        <color theme="1"/>
        <sz val="11.0"/>
      </rPr>
      <t xml:space="preserve">• El treball o producte presentat aconsegueix, </t>
    </r>
    <r>
      <rPr>
        <rFont val="Calibri"/>
        <color theme="1"/>
        <sz val="11.0"/>
        <u/>
      </rPr>
      <t>almenys, els objectius planificats més importants</t>
    </r>
    <r>
      <rPr>
        <rFont val="Calibri"/>
        <color rgb="FF000000"/>
        <sz val="11.0"/>
      </rPr>
      <t xml:space="preserve">
• El treball o producte desenvolupat és de bona qualitat
• El treball o producte desenvolupat té una dificultat assimilable a la que s'exigeix en l'àmbit acadèmic o professional
• El treball o producte </t>
    </r>
    <r>
      <rPr>
        <rFont val="Calibri"/>
        <color theme="1"/>
        <sz val="11.0"/>
        <u/>
      </rPr>
      <t>no inclou tota la informació necessària per assistir a l'usuari</t>
    </r>
    <r>
      <rPr>
        <rFont val="Calibri"/>
        <color rgb="FF000000"/>
        <sz val="11.0"/>
      </rPr>
      <t xml:space="preserve"> (p.ex. falta manual d'usuari), però </t>
    </r>
    <r>
      <rPr>
        <rFont val="Calibri"/>
        <color theme="1"/>
        <sz val="11.0"/>
        <u/>
      </rPr>
      <t>inclou informació suficient per a permetre avaluar o reproduir els resultats</t>
    </r>
    <r>
      <rPr>
        <rFont val="Calibri"/>
        <color rgb="FF000000"/>
        <sz val="11.0"/>
      </rPr>
      <t xml:space="preserve"> de forma independent (p.ex. codi font, manual d'instal·lació, conjunts de dades i fonts utilitzats en l'estudi)</t>
    </r>
  </si>
  <si>
    <r>
      <rPr>
        <rFont val="Calibri"/>
        <color theme="1"/>
        <sz val="11.0"/>
      </rPr>
      <t xml:space="preserve">• The presented work or the developed product achieves, at least, the </t>
    </r>
    <r>
      <rPr>
        <rFont val="Calibri"/>
        <color theme="1"/>
        <sz val="11.0"/>
        <u/>
      </rPr>
      <t>most important</t>
    </r>
    <r>
      <rPr>
        <rFont val="Calibri"/>
        <color rgb="FF000000"/>
        <sz val="11.0"/>
      </rPr>
      <t xml:space="preserve"> planned objectives
• The work or product is of good quality
• The work or product development has a difficulty comparable to that required in the academic or professional field
• The work or product </t>
    </r>
    <r>
      <rPr>
        <rFont val="Calibri"/>
        <color theme="1"/>
        <sz val="11.0"/>
        <u/>
      </rPr>
      <t>does not include</t>
    </r>
    <r>
      <rPr>
        <rFont val="Calibri"/>
        <color rgb="FF000000"/>
        <sz val="11.0"/>
      </rPr>
      <t xml:space="preserve"> all the information necessary </t>
    </r>
    <r>
      <rPr>
        <rFont val="Calibri"/>
        <color theme="1"/>
        <sz val="11.0"/>
        <u/>
      </rPr>
      <t>to assist the user</t>
    </r>
    <r>
      <rPr>
        <rFont val="Calibri"/>
        <color rgb="FF000000"/>
        <sz val="11.0"/>
      </rPr>
      <t xml:space="preserve"> (e.g. missing user manual), but </t>
    </r>
    <r>
      <rPr>
        <rFont val="Calibri"/>
        <color theme="1"/>
        <sz val="11.0"/>
        <u/>
      </rPr>
      <t>includes sufficient information to allow independent evaluation</t>
    </r>
    <r>
      <rPr>
        <rFont val="Calibri"/>
        <color rgb="FF000000"/>
        <sz val="11.0"/>
      </rPr>
      <t xml:space="preserve"> or reproduction of the results (e.g. source code, installation manual, data sets and sources used in the study)</t>
    </r>
  </si>
  <si>
    <r>
      <rPr>
        <rFont val="Calibri"/>
        <color theme="1"/>
        <sz val="11.0"/>
      </rPr>
      <t xml:space="preserve">• El trabajo o producto presentado logra </t>
    </r>
    <r>
      <rPr>
        <rFont val="Calibri"/>
        <color theme="1"/>
        <sz val="11.0"/>
        <u/>
      </rPr>
      <t>parcialmente los objetivos planificados más importantes</t>
    </r>
    <r>
      <rPr>
        <rFont val="Calibri"/>
        <color rgb="FF000000"/>
        <sz val="11.0"/>
      </rPr>
      <t xml:space="preserve">
• El trabajo o producto desarrollado es de </t>
    </r>
    <r>
      <rPr>
        <rFont val="Calibri"/>
        <color theme="1"/>
        <sz val="11.0"/>
        <u/>
      </rPr>
      <t>calidad aceptable</t>
    </r>
    <r>
      <rPr>
        <rFont val="Calibri"/>
        <color rgb="FF000000"/>
        <sz val="11.0"/>
      </rPr>
      <t xml:space="preserve">
• El trabajo o producto desarrollado tiene una </t>
    </r>
    <r>
      <rPr>
        <rFont val="Calibri"/>
        <color theme="1"/>
        <sz val="11.0"/>
        <u/>
      </rPr>
      <t>dificultad algo menor</t>
    </r>
    <r>
      <rPr>
        <rFont val="Calibri"/>
        <color rgb="FF000000"/>
        <sz val="11.0"/>
      </rPr>
      <t xml:space="preserve"> a la que se exige en el ámbito académico o profesional
• El trabajo o producto tan </t>
    </r>
    <r>
      <rPr>
        <rFont val="Calibri"/>
        <color theme="1"/>
        <sz val="11.0"/>
        <u/>
      </rPr>
      <t>solo incluye la información mínima para permitir evaluar</t>
    </r>
    <r>
      <rPr>
        <rFont val="Calibri"/>
        <color rgb="FF000000"/>
        <sz val="11.0"/>
      </rPr>
      <t xml:space="preserve"> o reproducir los resultados (p.ej. código fuente, conjuntos de datos y fuentes utilizados en el estudio)</t>
    </r>
  </si>
  <si>
    <r>
      <rPr>
        <rFont val="Calibri"/>
        <color theme="1"/>
        <sz val="11.0"/>
      </rPr>
      <t xml:space="preserve">• El treball o producte presentat aconsegueix </t>
    </r>
    <r>
      <rPr>
        <rFont val="Calibri"/>
        <color theme="1"/>
        <sz val="11.0"/>
        <u/>
      </rPr>
      <t>parcialment els objectius planificats més importants</t>
    </r>
    <r>
      <rPr>
        <rFont val="Calibri"/>
        <color rgb="FF000000"/>
        <sz val="11.0"/>
      </rPr>
      <t xml:space="preserve">
• El treball o producte desenvolupat és de </t>
    </r>
    <r>
      <rPr>
        <rFont val="Calibri"/>
        <color theme="1"/>
        <sz val="11.0"/>
        <u/>
      </rPr>
      <t>qualitat acceptable</t>
    </r>
    <r>
      <rPr>
        <rFont val="Calibri"/>
        <color rgb="FF000000"/>
        <sz val="11.0"/>
      </rPr>
      <t xml:space="preserve">
• El treball o producte desenvolupat té una </t>
    </r>
    <r>
      <rPr>
        <rFont val="Calibri"/>
        <color theme="1"/>
        <sz val="11.0"/>
        <u/>
      </rPr>
      <t>dificultat una mica menor</t>
    </r>
    <r>
      <rPr>
        <rFont val="Calibri"/>
        <color rgb="FF000000"/>
        <sz val="11.0"/>
      </rPr>
      <t xml:space="preserve"> a la qual s'exigeix en l'àmbit acadèmic o professional
• El treball o producte tan sols inclou la </t>
    </r>
    <r>
      <rPr>
        <rFont val="Calibri"/>
        <color theme="1"/>
        <sz val="11.0"/>
        <u/>
      </rPr>
      <t>informació mínima per a permetre avaluar o reproduir els resultats</t>
    </r>
    <r>
      <rPr>
        <rFont val="Calibri"/>
        <color rgb="FF000000"/>
        <sz val="11.0"/>
      </rPr>
      <t xml:space="preserve"> (p.ex. codi font, conjunts de dades i fonts utilitzats en l'estudi)</t>
    </r>
  </si>
  <si>
    <r>
      <rPr>
        <rFont val="Calibri"/>
        <color theme="1"/>
        <sz val="11.0"/>
      </rPr>
      <t xml:space="preserve">• The presented work or the developed product </t>
    </r>
    <r>
      <rPr>
        <rFont val="Calibri"/>
        <color theme="1"/>
        <sz val="11.0"/>
        <u/>
      </rPr>
      <t>partially achieves the most important</t>
    </r>
    <r>
      <rPr>
        <rFont val="Calibri"/>
        <color rgb="FF000000"/>
        <sz val="11.0"/>
      </rPr>
      <t xml:space="preserve"> planned objectives
• The work or product is of </t>
    </r>
    <r>
      <rPr>
        <rFont val="Calibri"/>
        <color theme="1"/>
        <sz val="11.0"/>
        <u/>
      </rPr>
      <t>acceptable</t>
    </r>
    <r>
      <rPr>
        <rFont val="Calibri"/>
        <color rgb="FF000000"/>
        <sz val="11.0"/>
      </rPr>
      <t xml:space="preserve"> quality
• The work or product development has a </t>
    </r>
    <r>
      <rPr>
        <rFont val="Calibri"/>
        <color theme="1"/>
        <sz val="11.0"/>
        <u/>
      </rPr>
      <t>somewhat lower difficulty</t>
    </r>
    <r>
      <rPr>
        <rFont val="Calibri"/>
        <color rgb="FF000000"/>
        <sz val="11.0"/>
      </rPr>
      <t xml:space="preserve"> than that required in the academic or professional field
• The work or product includes </t>
    </r>
    <r>
      <rPr>
        <rFont val="Calibri"/>
        <color theme="1"/>
        <sz val="11.0"/>
        <u/>
      </rPr>
      <t>only the minimum information</t>
    </r>
    <r>
      <rPr>
        <rFont val="Calibri"/>
        <color rgb="FF000000"/>
        <sz val="11.0"/>
      </rPr>
      <t xml:space="preserve"> to allow the results to be evaluated or reproduced (e.g. source code, data sets and sources used in the study)</t>
    </r>
  </si>
  <si>
    <r>
      <rPr>
        <rFont val="Calibri"/>
        <color theme="1"/>
        <sz val="11.0"/>
      </rPr>
      <t xml:space="preserve">• El trabajo o producto presentado </t>
    </r>
    <r>
      <rPr>
        <rFont val="Calibri"/>
        <color theme="1"/>
        <sz val="11.0"/>
        <u/>
      </rPr>
      <t>no logra la mayoría de los objetivos planificados</t>
    </r>
    <r>
      <rPr>
        <rFont val="Calibri"/>
        <color rgb="FF000000"/>
        <sz val="11.0"/>
      </rPr>
      <t xml:space="preserve">
• El trabajo o producto desarrollado es de </t>
    </r>
    <r>
      <rPr>
        <rFont val="Calibri"/>
        <color theme="1"/>
        <sz val="11.0"/>
        <u/>
      </rPr>
      <t>calidad baja</t>
    </r>
    <r>
      <rPr>
        <rFont val="Calibri"/>
        <color rgb="FF000000"/>
        <sz val="11.0"/>
      </rPr>
      <t xml:space="preserve">
• El trabajo o producto desarrollado tiene una </t>
    </r>
    <r>
      <rPr>
        <rFont val="Calibri"/>
        <color theme="1"/>
        <sz val="11.0"/>
        <u/>
      </rPr>
      <t>dificultad menor</t>
    </r>
    <r>
      <rPr>
        <rFont val="Calibri"/>
        <color rgb="FF000000"/>
        <sz val="11.0"/>
      </rPr>
      <t xml:space="preserve"> a la que se exige en el ámbito académico o profesional
• El trabajo o producto </t>
    </r>
    <r>
      <rPr>
        <rFont val="Calibri"/>
        <color theme="1"/>
        <sz val="11.0"/>
        <u/>
      </rPr>
      <t>incluye parcialmente la información para permitir evaluar</t>
    </r>
    <r>
      <rPr>
        <rFont val="Calibri"/>
        <color rgb="FF000000"/>
        <sz val="11.0"/>
      </rPr>
      <t xml:space="preserve"> o reproducir los resultados (p.ej. falta el código fuente, el conjunto de datos o las fuentes utilizados en el estudio)</t>
    </r>
  </si>
  <si>
    <r>
      <rPr>
        <rFont val="Calibri"/>
        <color theme="1"/>
        <sz val="11.0"/>
      </rPr>
      <t xml:space="preserve">• El treball o producte presentat </t>
    </r>
    <r>
      <rPr>
        <rFont val="Calibri"/>
        <color theme="1"/>
        <sz val="11.0"/>
        <u/>
      </rPr>
      <t>no aconsegueix la majoria</t>
    </r>
    <r>
      <rPr>
        <rFont val="Calibri"/>
        <color rgb="FF000000"/>
        <sz val="11.0"/>
      </rPr>
      <t xml:space="preserve"> dels objectius planificats
• El treball o producte desenvolupat és de </t>
    </r>
    <r>
      <rPr>
        <rFont val="Calibri"/>
        <color theme="1"/>
        <sz val="11.0"/>
        <u/>
      </rPr>
      <t>qualitat baixa</t>
    </r>
    <r>
      <rPr>
        <rFont val="Calibri"/>
        <color rgb="FF000000"/>
        <sz val="11.0"/>
      </rPr>
      <t xml:space="preserve">
• El treball o producte desenvolupat té una </t>
    </r>
    <r>
      <rPr>
        <rFont val="Calibri"/>
        <color theme="1"/>
        <sz val="11.0"/>
        <u/>
      </rPr>
      <t>dificultat menor</t>
    </r>
    <r>
      <rPr>
        <rFont val="Calibri"/>
        <color rgb="FF000000"/>
        <sz val="11.0"/>
      </rPr>
      <t xml:space="preserve"> a la que s'exigeix en l'àmbit acadèmic o professional
• El treball o producte inclou </t>
    </r>
    <r>
      <rPr>
        <rFont val="Calibri"/>
        <color theme="1"/>
        <sz val="11.0"/>
        <u/>
      </rPr>
      <t>parcialment la informació per permetre avaluar o reproduir els resultats</t>
    </r>
    <r>
      <rPr>
        <rFont val="Calibri"/>
        <color rgb="FF000000"/>
        <sz val="11.0"/>
      </rPr>
      <t xml:space="preserve"> (p.ex. falta el codi font, el conjunt de dades o les fonts utilitzades en l'estudi)</t>
    </r>
  </si>
  <si>
    <r>
      <rPr>
        <rFont val="Calibri"/>
        <color theme="1"/>
        <sz val="11.0"/>
      </rPr>
      <t xml:space="preserve">• The presented work or developed product </t>
    </r>
    <r>
      <rPr>
        <rFont val="Calibri"/>
        <color theme="1"/>
        <sz val="11.0"/>
        <u/>
      </rPr>
      <t>does not achieve most</t>
    </r>
    <r>
      <rPr>
        <rFont val="Calibri"/>
        <color rgb="FF000000"/>
        <sz val="11.0"/>
      </rPr>
      <t xml:space="preserve"> of the planned objectives
• The work or product is of </t>
    </r>
    <r>
      <rPr>
        <rFont val="Calibri"/>
        <color theme="1"/>
        <sz val="11.0"/>
        <u/>
      </rPr>
      <t>low</t>
    </r>
    <r>
      <rPr>
        <rFont val="Calibri"/>
        <color rgb="FF000000"/>
        <sz val="11.0"/>
      </rPr>
      <t xml:space="preserve"> quality
• The work or product development is </t>
    </r>
    <r>
      <rPr>
        <rFont val="Calibri"/>
        <color theme="1"/>
        <sz val="11.0"/>
        <u/>
      </rPr>
      <t>less difficult</t>
    </r>
    <r>
      <rPr>
        <rFont val="Calibri"/>
        <color rgb="FF000000"/>
        <sz val="11.0"/>
      </rPr>
      <t xml:space="preserve"> than that required in the academic or professional field
• The work or product </t>
    </r>
    <r>
      <rPr>
        <rFont val="Calibri"/>
        <color theme="1"/>
        <sz val="11.0"/>
        <u/>
      </rPr>
      <t>partially includes</t>
    </r>
    <r>
      <rPr>
        <rFont val="Calibri"/>
        <color rgb="FF000000"/>
        <sz val="11.0"/>
      </rPr>
      <t xml:space="preserve"> the information to allow evaluation or reproduction of the results (e.g. missing source code, data set or sources used in the study)</t>
    </r>
  </si>
  <si>
    <r>
      <rPr>
        <rFont val="Calibri"/>
        <color theme="1"/>
        <sz val="11.0"/>
      </rPr>
      <t xml:space="preserve">• El trabajo o producto presentado </t>
    </r>
    <r>
      <rPr>
        <rFont val="Calibri"/>
        <color theme="1"/>
        <sz val="11.0"/>
        <u/>
      </rPr>
      <t>no logra los objetivos planificados</t>
    </r>
    <r>
      <rPr>
        <rFont val="Calibri"/>
        <color rgb="FF000000"/>
        <sz val="11.0"/>
      </rPr>
      <t xml:space="preserve">
• El trabajo o producto desarrollado es de </t>
    </r>
    <r>
      <rPr>
        <rFont val="Calibri"/>
        <color theme="1"/>
        <sz val="11.0"/>
        <u/>
      </rPr>
      <t>muy baja calidad</t>
    </r>
    <r>
      <rPr>
        <rFont val="Calibri"/>
        <color rgb="FF000000"/>
        <sz val="11.0"/>
      </rPr>
      <t xml:space="preserve">
• El trabajo o producto desarrollado tiene </t>
    </r>
    <r>
      <rPr>
        <rFont val="Calibri"/>
        <color theme="1"/>
        <sz val="11.0"/>
        <u/>
      </rPr>
      <t>una dificultad mucho menor</t>
    </r>
    <r>
      <rPr>
        <rFont val="Calibri"/>
        <color rgb="FF000000"/>
        <sz val="11.0"/>
      </rPr>
      <t xml:space="preserve"> a la que se exige en el ámbito académico o profesional
• El trabajo o producto </t>
    </r>
    <r>
      <rPr>
        <rFont val="Calibri"/>
        <color theme="1"/>
        <sz val="11.0"/>
        <u/>
      </rPr>
      <t>no permite evaluarse</t>
    </r>
    <r>
      <rPr>
        <rFont val="Calibri"/>
        <color rgb="FF000000"/>
        <sz val="11.0"/>
      </rPr>
      <t xml:space="preserve"> o reproducir los resultados de forma independiente</t>
    </r>
  </si>
  <si>
    <r>
      <rPr>
        <rFont val="Calibri"/>
        <color theme="1"/>
        <sz val="11.0"/>
      </rPr>
      <t xml:space="preserve">• El treball o producte presentat </t>
    </r>
    <r>
      <rPr>
        <rFont val="Calibri"/>
        <color theme="1"/>
        <sz val="11.0"/>
        <u/>
      </rPr>
      <t>no aconsegueix els objectius planificats</t>
    </r>
    <r>
      <rPr>
        <rFont val="Calibri"/>
        <color rgb="FF000000"/>
        <sz val="11.0"/>
      </rPr>
      <t xml:space="preserve">
• El treball o producte desenvolupat és de </t>
    </r>
    <r>
      <rPr>
        <rFont val="Calibri"/>
        <color theme="1"/>
        <sz val="11.0"/>
        <u/>
      </rPr>
      <t>molt baixa qualitat</t>
    </r>
    <r>
      <rPr>
        <rFont val="Calibri"/>
        <color rgb="FF000000"/>
        <sz val="11.0"/>
      </rPr>
      <t xml:space="preserve">
• El treball o producte desenvolupat té una </t>
    </r>
    <r>
      <rPr>
        <rFont val="Calibri"/>
        <color theme="1"/>
        <sz val="11.0"/>
        <u/>
      </rPr>
      <t>dificultat molt menor</t>
    </r>
    <r>
      <rPr>
        <rFont val="Calibri"/>
        <color rgb="FF000000"/>
        <sz val="11.0"/>
      </rPr>
      <t xml:space="preserve"> a la que s'exigeix en l'àmbit acadèmic o professional
• El treball o producte </t>
    </r>
    <r>
      <rPr>
        <rFont val="Calibri"/>
        <color theme="1"/>
        <sz val="11.0"/>
        <u/>
      </rPr>
      <t>no permet avaluar o reproduir els resultats</t>
    </r>
    <r>
      <rPr>
        <rFont val="Calibri"/>
        <color rgb="FF000000"/>
        <sz val="11.0"/>
      </rPr>
      <t xml:space="preserve"> de forma independent</t>
    </r>
  </si>
  <si>
    <r>
      <rPr>
        <rFont val="Calibri"/>
        <color theme="1"/>
        <sz val="11.0"/>
      </rPr>
      <t xml:space="preserve">• The presented work or the developed product </t>
    </r>
    <r>
      <rPr>
        <rFont val="Calibri"/>
        <color theme="1"/>
        <sz val="11.0"/>
        <u/>
      </rPr>
      <t>does not achieve</t>
    </r>
    <r>
      <rPr>
        <rFont val="Calibri"/>
        <color rgb="FF000000"/>
        <sz val="11.0"/>
      </rPr>
      <t xml:space="preserve"> the planned objectives
• The work or product is of </t>
    </r>
    <r>
      <rPr>
        <rFont val="Calibri"/>
        <color theme="1"/>
        <sz val="11.0"/>
        <u/>
      </rPr>
      <t>very low</t>
    </r>
    <r>
      <rPr>
        <rFont val="Calibri"/>
        <color rgb="FF000000"/>
        <sz val="11.0"/>
      </rPr>
      <t xml:space="preserve"> quality
• The work or product development has a </t>
    </r>
    <r>
      <rPr>
        <rFont val="Calibri"/>
        <color theme="1"/>
        <sz val="11.0"/>
        <u/>
      </rPr>
      <t>much lower difficulty</t>
    </r>
    <r>
      <rPr>
        <rFont val="Calibri"/>
        <color rgb="FF000000"/>
        <sz val="11.0"/>
      </rPr>
      <t xml:space="preserve"> than that required in the academic or professional field
• The work or product </t>
    </r>
    <r>
      <rPr>
        <rFont val="Calibri"/>
        <color theme="1"/>
        <sz val="11.0"/>
        <u/>
      </rPr>
      <t>does not allow the results to be independently evaluated</t>
    </r>
    <r>
      <rPr>
        <rFont val="Calibri"/>
        <color rgb="FF000000"/>
        <sz val="11.0"/>
      </rPr>
      <t xml:space="preserve"> or reproduced.</t>
    </r>
  </si>
  <si>
    <t>Grado de innovación de la solución presentada</t>
  </si>
  <si>
    <t>Grau d'innovació de la solució presentada</t>
  </si>
  <si>
    <t>Level of innovation of the proposed solution</t>
  </si>
  <si>
    <r>
      <rPr>
        <rFont val="Calibri"/>
        <color theme="1"/>
        <sz val="11.0"/>
      </rPr>
      <t xml:space="preserve">• La solución propuesta incorpora </t>
    </r>
    <r>
      <rPr>
        <rFont val="Calibri"/>
        <color theme="1"/>
        <sz val="11.0"/>
        <u/>
      </rPr>
      <t>elementos de investigación o I + D</t>
    </r>
    <r>
      <rPr>
        <rFont val="Calibri"/>
        <color rgb="FF000000"/>
        <sz val="11.0"/>
      </rPr>
      <t xml:space="preserve"> (temática en la frontera del conocimiento)</t>
    </r>
  </si>
  <si>
    <r>
      <rPr>
        <rFont val="Calibri"/>
        <color theme="1"/>
        <sz val="11.0"/>
      </rPr>
      <t xml:space="preserve">• La solució proposada </t>
    </r>
    <r>
      <rPr>
        <rFont val="Calibri"/>
        <color theme="1"/>
        <sz val="11.0"/>
        <u/>
      </rPr>
      <t>incorpora elements d'investigació o R + D</t>
    </r>
    <r>
      <rPr>
        <rFont val="Calibri"/>
        <color rgb="FF000000"/>
        <sz val="11.0"/>
      </rPr>
      <t xml:space="preserve"> (temàtica a la frontera del coneixement)</t>
    </r>
  </si>
  <si>
    <r>
      <rPr>
        <rFont val="Calibri"/>
        <color theme="1"/>
        <sz val="11.0"/>
      </rPr>
      <t xml:space="preserve">• The proposed solution includes </t>
    </r>
    <r>
      <rPr>
        <rFont val="Calibri"/>
        <color theme="1"/>
        <sz val="11.0"/>
        <u/>
      </rPr>
      <t>elements of research or R&amp;D</t>
    </r>
    <r>
      <rPr>
        <rFont val="Calibri"/>
        <color rgb="FF000000"/>
        <sz val="11.0"/>
      </rPr>
      <t xml:space="preserve"> (research topic at the frontier of knowledge)</t>
    </r>
  </si>
  <si>
    <r>
      <rPr>
        <rFont val="Calibri"/>
        <color theme="1"/>
        <sz val="11.0"/>
      </rPr>
      <t xml:space="preserve">• La solución propuesta es original e incorpora </t>
    </r>
    <r>
      <rPr>
        <rFont val="Calibri"/>
        <color theme="1"/>
        <sz val="11.0"/>
        <u/>
      </rPr>
      <t>alguna innovación relevante</t>
    </r>
    <r>
      <rPr>
        <rFont val="Calibri"/>
        <color rgb="FF000000"/>
        <sz val="11.0"/>
      </rPr>
      <t xml:space="preserve"> (planteamiento, diseño, combinación de tecnologías, presentación...)
• La propuesta es </t>
    </r>
    <r>
      <rPr>
        <rFont val="Calibri"/>
        <color theme="1"/>
        <sz val="11.0"/>
        <u/>
      </rPr>
      <t>coherente con las características del problema y de la solución deseada</t>
    </r>
  </si>
  <si>
    <r>
      <rPr>
        <rFont val="Calibri"/>
        <color theme="1"/>
        <sz val="11.0"/>
      </rPr>
      <t xml:space="preserve">• La solució proposada és original i incorpora </t>
    </r>
    <r>
      <rPr>
        <rFont val="Calibri"/>
        <color theme="1"/>
        <sz val="11.0"/>
        <u/>
      </rPr>
      <t>alguna innovació rellevant</t>
    </r>
    <r>
      <rPr>
        <rFont val="Calibri"/>
        <color rgb="FF000000"/>
        <sz val="11.0"/>
      </rPr>
      <t xml:space="preserve"> (plantejament, disseny, combinació de tecnologies, presentació ...)
• La proposta és </t>
    </r>
    <r>
      <rPr>
        <rFont val="Calibri"/>
        <color theme="1"/>
        <sz val="11.0"/>
        <u/>
      </rPr>
      <t>coherent amb les característiques del problema i de la solució desitjada</t>
    </r>
  </si>
  <si>
    <r>
      <rPr>
        <rFont val="Calibri"/>
        <color theme="1"/>
        <sz val="11.0"/>
      </rPr>
      <t xml:space="preserve">• The proposed solution is </t>
    </r>
    <r>
      <rPr>
        <rFont val="Calibri"/>
        <color theme="1"/>
        <sz val="11.0"/>
        <u/>
      </rPr>
      <t>original and includes some relevant innovation</t>
    </r>
    <r>
      <rPr>
        <rFont val="Calibri"/>
        <color rgb="FF000000"/>
        <sz val="11.0"/>
      </rPr>
      <t xml:space="preserve"> (e.g. approach, design, combination of technologies, presentation)
• The proposal is </t>
    </r>
    <r>
      <rPr>
        <rFont val="Calibri"/>
        <color theme="1"/>
        <sz val="11.0"/>
        <u/>
      </rPr>
      <t>consistent with the characteristics of the problem and the desired solution</t>
    </r>
  </si>
  <si>
    <r>
      <rPr>
        <rFont val="Calibri"/>
        <color theme="1"/>
        <sz val="11.0"/>
      </rPr>
      <t>• Reaprovecha toda la información, software y recursos a su alcance (</t>
    </r>
    <r>
      <rPr>
        <rFont val="Calibri"/>
        <color theme="1"/>
        <sz val="11.0"/>
        <u/>
      </rPr>
      <t>no se "reinventa la rueda"</t>
    </r>
    <r>
      <rPr>
        <rFont val="Calibri"/>
        <color rgb="FF000000"/>
        <sz val="11.0"/>
      </rPr>
      <t xml:space="preserve"> al duplicar trabajos existentes)
• Ha tenido en cuenta especialmente los </t>
    </r>
    <r>
      <rPr>
        <rFont val="Calibri"/>
        <color theme="1"/>
        <sz val="11.0"/>
        <u/>
      </rPr>
      <t>recursos "libres"</t>
    </r>
    <r>
      <rPr>
        <rFont val="Calibri"/>
        <color rgb="FF000000"/>
        <sz val="11.0"/>
      </rPr>
      <t xml:space="preserve"> (publicaciones en abierto, software libre,...)        </t>
    </r>
  </si>
  <si>
    <r>
      <rPr>
        <rFont val="Calibri"/>
        <color theme="1"/>
        <sz val="11.0"/>
      </rPr>
      <t>• Reaprofita tota la informació, programari i recursos al seu abast (</t>
    </r>
    <r>
      <rPr>
        <rFont val="Calibri"/>
        <color theme="1"/>
        <sz val="11.0"/>
        <u/>
      </rPr>
      <t>no es "reinventa la roda"</t>
    </r>
    <r>
      <rPr>
        <rFont val="Calibri"/>
        <color rgb="FF000000"/>
        <sz val="11.0"/>
      </rPr>
      <t xml:space="preserve"> al duplicar treballs existents)
• Ha tingut en compte especialment els </t>
    </r>
    <r>
      <rPr>
        <rFont val="Calibri"/>
        <color theme="1"/>
        <sz val="11.0"/>
        <u/>
      </rPr>
      <t>recursos "lliures"</t>
    </r>
    <r>
      <rPr>
        <rFont val="Calibri"/>
        <color rgb="FF000000"/>
        <sz val="11.0"/>
      </rPr>
      <t xml:space="preserve"> (publicacions en obert, programari lliure, ...)</t>
    </r>
  </si>
  <si>
    <r>
      <rPr>
        <rFont val="Calibri"/>
        <color theme="1"/>
        <sz val="11.0"/>
      </rPr>
      <t>• The student reuses all the available information, software and resources (</t>
    </r>
    <r>
      <rPr>
        <rFont val="Calibri"/>
        <color theme="1"/>
        <sz val="11.0"/>
        <u/>
      </rPr>
      <t>it does not "reinvent the wheel"</t>
    </r>
    <r>
      <rPr>
        <rFont val="Calibri"/>
        <color rgb="FF000000"/>
        <sz val="11.0"/>
      </rPr>
      <t xml:space="preserve"> by duplicating existing work)
• The student has taken in special consideration the </t>
    </r>
    <r>
      <rPr>
        <rFont val="Calibri"/>
        <color theme="1"/>
        <sz val="11.0"/>
        <u/>
      </rPr>
      <t>"free" available resources</t>
    </r>
    <r>
      <rPr>
        <rFont val="Calibri"/>
        <color rgb="FF000000"/>
        <sz val="11.0"/>
      </rPr>
      <t xml:space="preserve"> (e.g. open publications, free software)</t>
    </r>
  </si>
  <si>
    <r>
      <rPr>
        <rFont val="Calibri"/>
        <color theme="1"/>
        <sz val="11.0"/>
      </rPr>
      <t xml:space="preserve">• El trabajo tiene </t>
    </r>
    <r>
      <rPr>
        <rFont val="Calibri"/>
        <color theme="1"/>
        <sz val="11.0"/>
        <u/>
      </rPr>
      <t>pocos aspectos originales</t>
    </r>
    <r>
      <rPr>
        <rFont val="Calibri"/>
        <color rgb="FF000000"/>
        <sz val="11.0"/>
      </rPr>
      <t xml:space="preserve"> o innovadores</t>
    </r>
  </si>
  <si>
    <r>
      <rPr>
        <rFont val="Calibri"/>
        <color theme="1"/>
        <sz val="11.0"/>
      </rPr>
      <t xml:space="preserve">• El treball té </t>
    </r>
    <r>
      <rPr>
        <rFont val="Calibri"/>
        <color theme="1"/>
        <sz val="11.0"/>
        <u/>
      </rPr>
      <t>pocs aspectes originals</t>
    </r>
    <r>
      <rPr>
        <rFont val="Calibri"/>
        <color rgb="FF000000"/>
        <sz val="11.0"/>
      </rPr>
      <t xml:space="preserve"> o innovadors</t>
    </r>
  </si>
  <si>
    <r>
      <rPr>
        <rFont val="Calibri"/>
        <color theme="1"/>
        <sz val="11.0"/>
      </rPr>
      <t xml:space="preserve">• The work has </t>
    </r>
    <r>
      <rPr>
        <rFont val="Calibri"/>
        <color theme="1"/>
        <sz val="11.0"/>
        <u/>
      </rPr>
      <t>few original</t>
    </r>
    <r>
      <rPr>
        <rFont val="Calibri"/>
        <color rgb="FF000000"/>
        <sz val="11.0"/>
      </rPr>
      <t xml:space="preserve"> or innovative aspects</t>
    </r>
  </si>
  <si>
    <r>
      <rPr>
        <rFont val="Calibri"/>
        <color theme="1"/>
        <sz val="11.0"/>
      </rPr>
      <t xml:space="preserve">•  El trabajo realizado es una </t>
    </r>
    <r>
      <rPr>
        <rFont val="Calibri"/>
        <color theme="1"/>
        <sz val="11.0"/>
        <u/>
      </rPr>
      <t>reiteración de trabajos previos</t>
    </r>
    <r>
      <rPr>
        <rFont val="Calibri"/>
        <color rgb="FF000000"/>
        <sz val="11.0"/>
      </rPr>
      <t>, sin una aportación original clara.</t>
    </r>
  </si>
  <si>
    <r>
      <rPr>
        <rFont val="Calibri"/>
        <color theme="1"/>
        <sz val="11.0"/>
      </rPr>
      <t xml:space="preserve">• El treball realitzat és una </t>
    </r>
    <r>
      <rPr>
        <rFont val="Calibri"/>
        <color theme="1"/>
        <sz val="11.0"/>
        <u/>
      </rPr>
      <t>reiteració de treballs previs</t>
    </r>
    <r>
      <rPr>
        <rFont val="Calibri"/>
        <color rgb="FF000000"/>
        <sz val="11.0"/>
      </rPr>
      <t>, sense una aportació original clara.</t>
    </r>
  </si>
  <si>
    <r>
      <rPr>
        <rFont val="Calibri"/>
        <color theme="1"/>
        <sz val="11.0"/>
      </rPr>
      <t xml:space="preserve">• The work is a </t>
    </r>
    <r>
      <rPr>
        <rFont val="Calibri"/>
        <color theme="1"/>
        <sz val="11.0"/>
        <u/>
      </rPr>
      <t>reiteration of previous work</t>
    </r>
    <r>
      <rPr>
        <rFont val="Calibri"/>
        <color rgb="FF000000"/>
        <sz val="11.0"/>
      </rPr>
      <t>, without a clear original contribution.</t>
    </r>
  </si>
  <si>
    <t>Conclusiones y discusión de los resultados</t>
  </si>
  <si>
    <t>Conclusions i discussió dels resultats</t>
  </si>
  <si>
    <t>Conclusions and discussion of the results</t>
  </si>
  <si>
    <t>• Existe una exposición clara del grado de cumplimiento de los objetivos del trabajo
• Se discuten de forma crítica los resultados o la solución presentada 
• Se enseñan claramente los puntos no tratados y se proponen posibles extensiones, mejoras y trabajo futuro</t>
  </si>
  <si>
    <r>
      <rPr>
        <rFont val="Calibri"/>
        <color theme="1"/>
        <sz val="11.0"/>
      </rPr>
      <t xml:space="preserve">• Hi ha una exposició del </t>
    </r>
    <r>
      <rPr>
        <rFont val="Calibri"/>
        <color theme="1"/>
        <sz val="11.0"/>
        <u/>
      </rPr>
      <t>grau d'acompliment dels objectius</t>
    </r>
    <r>
      <rPr>
        <rFont val="Calibri"/>
        <color rgb="FF000000"/>
        <sz val="11.0"/>
      </rPr>
      <t xml:space="preserve"> del treball
• Es </t>
    </r>
    <r>
      <rPr>
        <rFont val="Calibri"/>
        <color theme="1"/>
        <sz val="11.0"/>
        <u/>
      </rPr>
      <t>discuteixen de forma crítica els resultats</t>
    </r>
    <r>
      <rPr>
        <rFont val="Calibri"/>
        <color rgb="FF000000"/>
        <sz val="11.0"/>
      </rPr>
      <t xml:space="preserve"> o la solució presentada
• S'ensenyen </t>
    </r>
    <r>
      <rPr>
        <rFont val="Calibri"/>
        <color theme="1"/>
        <sz val="11.0"/>
        <u/>
      </rPr>
      <t>clarament els punts no tractats</t>
    </r>
    <r>
      <rPr>
        <rFont val="Calibri"/>
        <color rgb="FF000000"/>
        <sz val="11.0"/>
      </rPr>
      <t xml:space="preserve"> i es proposen possibles extensions, millores i </t>
    </r>
    <r>
      <rPr>
        <rFont val="Calibri"/>
        <color theme="1"/>
        <sz val="11.0"/>
        <u/>
      </rPr>
      <t>treball futur</t>
    </r>
  </si>
  <si>
    <r>
      <rPr>
        <rFont val="Calibri"/>
        <color theme="1"/>
        <sz val="11.0"/>
      </rPr>
      <t xml:space="preserve">• The degree of </t>
    </r>
    <r>
      <rPr>
        <rFont val="Calibri"/>
        <color theme="1"/>
        <sz val="11.0"/>
        <u/>
      </rPr>
      <t>fulfillment of all the planned objectives</t>
    </r>
    <r>
      <rPr>
        <rFont val="Calibri"/>
        <color rgb="FF000000"/>
        <sz val="11.0"/>
      </rPr>
      <t xml:space="preserve"> is discussed
• The conclusions and the </t>
    </r>
    <r>
      <rPr>
        <rFont val="Calibri"/>
        <color theme="1"/>
        <sz val="11.0"/>
        <u/>
      </rPr>
      <t>results</t>
    </r>
    <r>
      <rPr>
        <rFont val="Calibri"/>
        <color rgb="FF000000"/>
        <sz val="11.0"/>
      </rPr>
      <t xml:space="preserve"> of the work or the developed product are </t>
    </r>
    <r>
      <rPr>
        <rFont val="Calibri"/>
        <color theme="1"/>
        <sz val="11.0"/>
        <u/>
      </rPr>
      <t xml:space="preserve">discussed and criticised
</t>
    </r>
    <r>
      <rPr>
        <rFont val="Calibri"/>
        <color rgb="FF000000"/>
        <sz val="11.0"/>
      </rPr>
      <t xml:space="preserve">• </t>
    </r>
    <r>
      <rPr>
        <rFont val="Calibri"/>
        <color theme="1"/>
        <sz val="11.0"/>
        <u/>
      </rPr>
      <t>Not covered objectives</t>
    </r>
    <r>
      <rPr>
        <rFont val="Calibri"/>
        <color rgb="FF000000"/>
        <sz val="11.0"/>
      </rPr>
      <t xml:space="preserve"> are clearly </t>
    </r>
    <r>
      <rPr>
        <rFont val="Calibri"/>
        <color theme="1"/>
        <sz val="11.0"/>
        <u/>
      </rPr>
      <t>explained</t>
    </r>
    <r>
      <rPr>
        <rFont val="Calibri"/>
        <color rgb="FF000000"/>
        <sz val="11.0"/>
      </rPr>
      <t xml:space="preserve"> and possible extensions, improvements and </t>
    </r>
    <r>
      <rPr>
        <rFont val="Calibri"/>
        <color theme="1"/>
        <sz val="11.0"/>
        <u/>
      </rPr>
      <t>future work are proposed</t>
    </r>
  </si>
  <si>
    <t>• Existe una exposición clara de los resultados alcanzados y del cumplimiento de los objetivos del trabajo
• Se discuten de forma crítica los resultados o la solución presentada 
• No se muestran claramente los puntos no tratados o las posibles extensiones, mejoras o trabajo futuro</t>
  </si>
  <si>
    <r>
      <rPr>
        <rFont val="Calibri"/>
        <color theme="1"/>
        <sz val="11.0"/>
      </rPr>
      <t xml:space="preserve">• Hi ha una </t>
    </r>
    <r>
      <rPr>
        <rFont val="Calibri"/>
        <color theme="1"/>
        <sz val="11.0"/>
        <u/>
      </rPr>
      <t>exposició clara dels resultats assolits</t>
    </r>
    <r>
      <rPr>
        <rFont val="Calibri"/>
        <color rgb="FF000000"/>
        <sz val="11.0"/>
      </rPr>
      <t xml:space="preserve"> i de l'acompliment dels objectius del treball
• Es </t>
    </r>
    <r>
      <rPr>
        <rFont val="Calibri"/>
        <color theme="1"/>
        <sz val="11.0"/>
        <u/>
      </rPr>
      <t>discuteixen de forma crítica els resultats</t>
    </r>
    <r>
      <rPr>
        <rFont val="Calibri"/>
        <color rgb="FF000000"/>
        <sz val="11.0"/>
      </rPr>
      <t xml:space="preserve"> o la solució presentada
• </t>
    </r>
    <r>
      <rPr>
        <rFont val="Calibri"/>
        <color theme="1"/>
        <sz val="11.0"/>
        <u/>
      </rPr>
      <t>No es mostren clarament els punts no tractats</t>
    </r>
    <r>
      <rPr>
        <rFont val="Calibri"/>
        <color rgb="FF000000"/>
        <sz val="11.0"/>
      </rPr>
      <t xml:space="preserve"> o les possibles extensions, millores o treball futur</t>
    </r>
  </si>
  <si>
    <r>
      <rPr>
        <rFont val="Calibri"/>
        <color theme="1"/>
        <sz val="11.0"/>
      </rPr>
      <t xml:space="preserve">• The degree of fulfillment of all the planned objectives is discussed
• The conclusions and the results of the work or the developed product are discussed and criticised
• Not covered objectives are </t>
    </r>
    <r>
      <rPr>
        <rFont val="Calibri"/>
        <color theme="1"/>
        <sz val="11.0"/>
        <u/>
      </rPr>
      <t>not clearly explained</t>
    </r>
    <r>
      <rPr>
        <rFont val="Calibri"/>
        <color rgb="FF000000"/>
        <sz val="11.0"/>
      </rPr>
      <t xml:space="preserve"> or possible extensions, improvements and future work are </t>
    </r>
    <r>
      <rPr>
        <rFont val="Calibri"/>
        <color theme="1"/>
        <sz val="11.0"/>
        <u/>
      </rPr>
      <t>not proposed</t>
    </r>
  </si>
  <si>
    <t>• Existe una exposición de los resultados alcanzados, pero no se relaciona claramente con los objetivos del trabajo
• Hay cierta discusión crítica de los resultados o la solución presentada, pero esta es poco profunda</t>
  </si>
  <si>
    <r>
      <rPr>
        <rFont val="Calibri"/>
        <color theme="1"/>
        <sz val="11.0"/>
      </rPr>
      <t xml:space="preserve">• Hi ha una exposició dels resultats assolits, però </t>
    </r>
    <r>
      <rPr>
        <rFont val="Calibri"/>
        <color theme="1"/>
        <sz val="11.0"/>
        <u/>
      </rPr>
      <t>no es relaciona clarament amb els objectius del treball</t>
    </r>
    <r>
      <rPr>
        <rFont val="Calibri"/>
        <color rgb="FF000000"/>
        <sz val="11.0"/>
      </rPr>
      <t xml:space="preserve">
• Hi ha</t>
    </r>
    <r>
      <rPr>
        <rFont val="Calibri"/>
        <color theme="1"/>
        <sz val="11.0"/>
        <u/>
      </rPr>
      <t xml:space="preserve"> certa discussió crítica dels resultats</t>
    </r>
    <r>
      <rPr>
        <rFont val="Calibri"/>
        <color rgb="FF000000"/>
        <sz val="11.0"/>
      </rPr>
      <t xml:space="preserve"> o la solució presentada, però aquesta és </t>
    </r>
    <r>
      <rPr>
        <rFont val="Calibri"/>
        <color theme="1"/>
        <sz val="11.0"/>
        <u/>
      </rPr>
      <t>poc profunda</t>
    </r>
  </si>
  <si>
    <r>
      <rPr>
        <rFont val="Calibri"/>
        <color theme="1"/>
        <sz val="11.0"/>
      </rPr>
      <t xml:space="preserve">• </t>
    </r>
    <r>
      <rPr>
        <rFont val="Calibri"/>
        <color theme="1"/>
        <sz val="11.0"/>
        <u/>
      </rPr>
      <t>Conclusions and results are described</t>
    </r>
    <r>
      <rPr>
        <rFont val="Calibri"/>
        <color rgb="FF000000"/>
        <sz val="11.0"/>
      </rPr>
      <t xml:space="preserve">, but it is </t>
    </r>
    <r>
      <rPr>
        <rFont val="Calibri"/>
        <color theme="1"/>
        <sz val="11.0"/>
        <u/>
      </rPr>
      <t>not clearly related to the objectives</t>
    </r>
    <r>
      <rPr>
        <rFont val="Calibri"/>
        <color rgb="FF000000"/>
        <sz val="11.0"/>
      </rPr>
      <t xml:space="preserve"> of the project
• There is some critical discussion of the results or the presented solution, but this is </t>
    </r>
    <r>
      <rPr>
        <rFont val="Calibri"/>
        <color theme="1"/>
        <sz val="11.0"/>
        <u/>
      </rPr>
      <t>shallow</t>
    </r>
  </si>
  <si>
    <t>• La exposición de los resultados alcanzados no es clara, no se relaciona con los objetivos del trabajo o es superficial
• Hay cierta discusión crítica de los resultados o la solución presentada, pero esta es poco profunda</t>
  </si>
  <si>
    <r>
      <rPr>
        <rFont val="Calibri"/>
        <color theme="1"/>
        <sz val="11.0"/>
      </rPr>
      <t xml:space="preserve">• L'exposició dels resultats assolits </t>
    </r>
    <r>
      <rPr>
        <rFont val="Calibri"/>
        <color theme="1"/>
        <sz val="11.0"/>
        <u/>
      </rPr>
      <t>no és clara</t>
    </r>
    <r>
      <rPr>
        <rFont val="Calibri"/>
        <color rgb="FF000000"/>
        <sz val="11.0"/>
      </rPr>
      <t xml:space="preserve">, </t>
    </r>
    <r>
      <rPr>
        <rFont val="Calibri"/>
        <color theme="1"/>
        <sz val="11.0"/>
        <u/>
      </rPr>
      <t>no es relaciona amb els objectius del treball</t>
    </r>
    <r>
      <rPr>
        <rFont val="Calibri"/>
        <color rgb="FF000000"/>
        <sz val="11.0"/>
      </rPr>
      <t xml:space="preserve"> o és superficial
• Hi ha certa discussió crítica dels resultats o la solució presentada, però aquesta és </t>
    </r>
    <r>
      <rPr>
        <rFont val="Calibri"/>
        <color theme="1"/>
        <sz val="11.0"/>
        <u/>
      </rPr>
      <t>poc profunda</t>
    </r>
  </si>
  <si>
    <r>
      <rPr>
        <rFont val="Calibri"/>
        <color theme="1"/>
        <sz val="11.0"/>
      </rPr>
      <t xml:space="preserve">• The conclusions and achieved results are </t>
    </r>
    <r>
      <rPr>
        <rFont val="Calibri"/>
        <color theme="1"/>
        <sz val="11.0"/>
        <u/>
      </rPr>
      <t>not clearly described</t>
    </r>
    <r>
      <rPr>
        <rFont val="Calibri"/>
        <color rgb="FF000000"/>
        <sz val="11.0"/>
      </rPr>
      <t xml:space="preserve">, they are </t>
    </r>
    <r>
      <rPr>
        <rFont val="Calibri"/>
        <color theme="1"/>
        <sz val="11.0"/>
        <u/>
      </rPr>
      <t>unrelated to the objectives</t>
    </r>
    <r>
      <rPr>
        <rFont val="Calibri"/>
        <color rgb="FF000000"/>
        <sz val="11.0"/>
      </rPr>
      <t xml:space="preserve"> of the project or the </t>
    </r>
    <r>
      <rPr>
        <rFont val="Calibri"/>
        <color theme="1"/>
        <sz val="11.0"/>
        <u/>
      </rPr>
      <t>arguments are superficial</t>
    </r>
    <r>
      <rPr>
        <rFont val="Calibri"/>
        <color rgb="FF000000"/>
        <sz val="11.0"/>
      </rPr>
      <t xml:space="preserve">
• There is some critical discussion of the results or the presented solution, but this is shallow</t>
    </r>
  </si>
  <si>
    <t>• No hay una exposición de los resultados alcanzados o esta es demasiado superficial
• No hay una discusión crítica de los resultados o de la solución presentada</t>
  </si>
  <si>
    <r>
      <rPr>
        <rFont val="Calibri"/>
        <color theme="1"/>
        <sz val="11.0"/>
      </rPr>
      <t xml:space="preserve">• </t>
    </r>
    <r>
      <rPr>
        <rFont val="Calibri"/>
        <color theme="1"/>
        <sz val="11.0"/>
        <u/>
      </rPr>
      <t>No hi ha una exposició dels resultats assolits</t>
    </r>
    <r>
      <rPr>
        <rFont val="Calibri"/>
        <color rgb="FF000000"/>
        <sz val="11.0"/>
      </rPr>
      <t xml:space="preserve"> o aquesta és </t>
    </r>
    <r>
      <rPr>
        <rFont val="Calibri"/>
        <color theme="1"/>
        <sz val="11.0"/>
        <u/>
      </rPr>
      <t>massa superficial</t>
    </r>
    <r>
      <rPr>
        <rFont val="Calibri"/>
        <color rgb="FF000000"/>
        <sz val="11.0"/>
      </rPr>
      <t xml:space="preserve">
• </t>
    </r>
    <r>
      <rPr>
        <rFont val="Calibri"/>
        <color theme="1"/>
        <sz val="11.0"/>
        <u/>
      </rPr>
      <t>No hi ha una discussió crítica dels resultats</t>
    </r>
    <r>
      <rPr>
        <rFont val="Calibri"/>
        <color rgb="FF000000"/>
        <sz val="11.0"/>
      </rPr>
      <t xml:space="preserve"> o de la solució presentada</t>
    </r>
  </si>
  <si>
    <r>
      <rPr>
        <rFont val="Calibri"/>
        <color theme="1"/>
        <sz val="11.0"/>
      </rPr>
      <t xml:space="preserve">• There is </t>
    </r>
    <r>
      <rPr>
        <rFont val="Calibri"/>
        <color theme="1"/>
        <sz val="11.0"/>
        <u/>
      </rPr>
      <t>no statement of achieved results</t>
    </r>
    <r>
      <rPr>
        <rFont val="Calibri"/>
        <color rgb="FF000000"/>
        <sz val="11.0"/>
      </rPr>
      <t xml:space="preserve"> or it is </t>
    </r>
    <r>
      <rPr>
        <rFont val="Calibri"/>
        <color theme="1"/>
        <sz val="11.0"/>
        <u/>
      </rPr>
      <t>too superficial</t>
    </r>
    <r>
      <rPr>
        <rFont val="Calibri"/>
        <color rgb="FF000000"/>
        <sz val="11.0"/>
      </rPr>
      <t xml:space="preserve">
• There is </t>
    </r>
    <r>
      <rPr>
        <rFont val="Calibri"/>
        <color theme="1"/>
        <sz val="11.0"/>
        <u/>
      </rPr>
      <t>no critical discussion</t>
    </r>
    <r>
      <rPr>
        <rFont val="Calibri"/>
        <color rgb="FF000000"/>
        <sz val="11.0"/>
      </rPr>
      <t xml:space="preserve"> of the results or the presented solution </t>
    </r>
  </si>
  <si>
    <t>Aspectos formales de la memoria</t>
  </si>
  <si>
    <t>Aspectes formals de la memòria</t>
  </si>
  <si>
    <t>Formal aspects of the final report</t>
  </si>
  <si>
    <t>Redacción adecuada, utilización flexible de un lenguaje inclusivo, y organización clara y correcta del contenido</t>
  </si>
  <si>
    <t>Redacció adequada, utilització flexible d’un llenguatge inclusiu, i organització clara i correcta del contingut</t>
  </si>
  <si>
    <t>Appropriate wording, flexible use of inclusive language, and clear and correct organization of content</t>
  </si>
  <si>
    <r>
      <rPr>
        <rFont val="Calibri"/>
        <color theme="1"/>
        <sz val="11.0"/>
      </rPr>
      <t xml:space="preserve">• Se usa un </t>
    </r>
    <r>
      <rPr>
        <rFont val="Calibri"/>
        <color theme="1"/>
        <sz val="11.0"/>
        <u/>
      </rPr>
      <t xml:space="preserve">estilo de redacción adecuado y claro
</t>
    </r>
    <r>
      <rPr>
        <rFont val="Calibri"/>
        <color rgb="FF000000"/>
        <sz val="11.0"/>
      </rPr>
      <t xml:space="preserve">• El redactado se ha hecho usando un </t>
    </r>
    <r>
      <rPr>
        <rFont val="Calibri"/>
        <color theme="1"/>
        <sz val="11.0"/>
        <u/>
      </rPr>
      <t>lenguaje inclusivo y no sexista</t>
    </r>
    <r>
      <rPr>
        <rFont val="Calibri"/>
        <color rgb="FF000000"/>
        <sz val="11.0"/>
      </rPr>
      <t xml:space="preserve">
• Se usan </t>
    </r>
    <r>
      <rPr>
        <rFont val="Calibri"/>
        <color theme="1"/>
        <sz val="11.0"/>
        <u/>
      </rPr>
      <t>figuras y elementos visuales que ayudan a la comprensión</t>
    </r>
    <r>
      <rPr>
        <rFont val="Calibri"/>
        <color rgb="FF000000"/>
        <sz val="11.0"/>
      </rPr>
      <t xml:space="preserve"> 
• El</t>
    </r>
    <r>
      <rPr>
        <rFont val="Calibri"/>
        <color theme="1"/>
        <sz val="11.0"/>
        <u/>
      </rPr>
      <t xml:space="preserve"> contexto del trabajo está bien introducido y contextualizado</t>
    </r>
    <r>
      <rPr>
        <rFont val="Calibri"/>
        <color rgb="FF000000"/>
        <sz val="11.0"/>
      </rPr>
      <t xml:space="preserve">
• La memoria tiene un </t>
    </r>
    <r>
      <rPr>
        <rFont val="Calibri"/>
        <color theme="1"/>
        <sz val="11.0"/>
        <u/>
      </rPr>
      <t>formato correcto</t>
    </r>
    <r>
      <rPr>
        <rFont val="Calibri"/>
        <color rgb="FF000000"/>
        <sz val="11.0"/>
      </rPr>
      <t xml:space="preserve">, está organizada de forma clara, con un índice de contenidos lógico y bien estructurado
• Se han </t>
    </r>
    <r>
      <rPr>
        <rFont val="Calibri"/>
        <color theme="1"/>
        <sz val="11.0"/>
        <u/>
      </rPr>
      <t>incluido todas las secciones requeridas</t>
    </r>
    <r>
      <rPr>
        <rFont val="Calibri"/>
        <color rgb="FF000000"/>
        <sz val="11.0"/>
      </rPr>
      <t xml:space="preserve">
• La longitud de la memoria se ajusta a la </t>
    </r>
    <r>
      <rPr>
        <rFont val="Calibri"/>
        <color theme="1"/>
        <sz val="11.0"/>
        <u/>
      </rPr>
      <t>longitud establecida</t>
    </r>
  </si>
  <si>
    <r>
      <rPr>
        <rFont val="Calibri"/>
        <color theme="1"/>
        <sz val="11.0"/>
      </rPr>
      <t xml:space="preserve">• Es fa servir un </t>
    </r>
    <r>
      <rPr>
        <rFont val="Calibri"/>
        <color theme="1"/>
        <sz val="11.0"/>
        <u/>
      </rPr>
      <t xml:space="preserve">estil de redacció adequat i clar
</t>
    </r>
    <r>
      <rPr>
        <rFont val="Calibri"/>
        <color rgb="FF000000"/>
        <sz val="11.0"/>
      </rPr>
      <t xml:space="preserve">• El redactat s'ha fet utilitzant un </t>
    </r>
    <r>
      <rPr>
        <rFont val="Calibri"/>
        <color theme="1"/>
        <sz val="11.0"/>
        <u/>
      </rPr>
      <t>llenguatge inclusiu i no sexista</t>
    </r>
    <r>
      <rPr>
        <rFont val="Calibri"/>
        <color rgb="FF000000"/>
        <sz val="11.0"/>
      </rPr>
      <t xml:space="preserve">
• S'usen </t>
    </r>
    <r>
      <rPr>
        <rFont val="Calibri"/>
        <color theme="1"/>
        <sz val="11.0"/>
        <u/>
      </rPr>
      <t>figures i elements visuals que ajuden a la comprensió</t>
    </r>
    <r>
      <rPr>
        <rFont val="Calibri"/>
        <color rgb="FF000000"/>
        <sz val="11.0"/>
      </rPr>
      <t xml:space="preserve">
• El </t>
    </r>
    <r>
      <rPr>
        <rFont val="Calibri"/>
        <color theme="1"/>
        <sz val="11.0"/>
        <u/>
      </rPr>
      <t>context del treball està ben introduït</t>
    </r>
    <r>
      <rPr>
        <rFont val="Calibri"/>
        <color rgb="FF000000"/>
        <sz val="11.0"/>
      </rPr>
      <t xml:space="preserve"> i contextualitzat
• La memòria té un </t>
    </r>
    <r>
      <rPr>
        <rFont val="Calibri"/>
        <color theme="1"/>
        <sz val="11.0"/>
        <u/>
      </rPr>
      <t>format correcte</t>
    </r>
    <r>
      <rPr>
        <rFont val="Calibri"/>
        <color rgb="FF000000"/>
        <sz val="11.0"/>
      </rPr>
      <t xml:space="preserve">, està </t>
    </r>
    <r>
      <rPr>
        <rFont val="Calibri"/>
        <color theme="1"/>
        <sz val="11.0"/>
        <u/>
      </rPr>
      <t>organitzada de forma clara</t>
    </r>
    <r>
      <rPr>
        <rFont val="Calibri"/>
        <color rgb="FF000000"/>
        <sz val="11.0"/>
      </rPr>
      <t xml:space="preserve">, amb un </t>
    </r>
    <r>
      <rPr>
        <rFont val="Calibri"/>
        <color theme="1"/>
        <sz val="11.0"/>
        <u/>
      </rPr>
      <t>índex de continguts lògic i ben estructurat</t>
    </r>
    <r>
      <rPr>
        <rFont val="Calibri"/>
        <color rgb="FF000000"/>
        <sz val="11.0"/>
      </rPr>
      <t xml:space="preserve">
• S'han </t>
    </r>
    <r>
      <rPr>
        <rFont val="Calibri"/>
        <color theme="1"/>
        <sz val="11.0"/>
        <u/>
      </rPr>
      <t>inclòs totes les seccions requerides</t>
    </r>
    <r>
      <rPr>
        <rFont val="Calibri"/>
        <color rgb="FF000000"/>
        <sz val="11.0"/>
      </rPr>
      <t xml:space="preserve">
• La longitud de la memòria s'ajusta a la </t>
    </r>
    <r>
      <rPr>
        <rFont val="Calibri"/>
        <color theme="1"/>
        <sz val="11.0"/>
        <u/>
      </rPr>
      <t>longitud establerta</t>
    </r>
  </si>
  <si>
    <r>
      <rPr>
        <rFont val="Calibri"/>
        <color theme="1"/>
        <sz val="11.0"/>
      </rPr>
      <t xml:space="preserve">• The </t>
    </r>
    <r>
      <rPr>
        <rFont val="Calibri"/>
        <color theme="1"/>
        <sz val="11.0"/>
        <u/>
      </rPr>
      <t xml:space="preserve">writing style is appropriate and clear
</t>
    </r>
    <r>
      <rPr>
        <rFont val="Calibri"/>
        <color rgb="FF000000"/>
        <sz val="11.0"/>
      </rPr>
      <t xml:space="preserve">• The wording uses </t>
    </r>
    <r>
      <rPr>
        <rFont val="Calibri"/>
        <color theme="1"/>
        <sz val="11.0"/>
        <u/>
      </rPr>
      <t>inclusive and non-sexist language</t>
    </r>
    <r>
      <rPr>
        <rFont val="Calibri"/>
        <color rgb="FF000000"/>
        <sz val="11.0"/>
      </rPr>
      <t xml:space="preserve">
• </t>
    </r>
    <r>
      <rPr>
        <rFont val="Calibri"/>
        <color theme="1"/>
        <sz val="11.0"/>
        <u/>
      </rPr>
      <t>Figures and visual elements</t>
    </r>
    <r>
      <rPr>
        <rFont val="Calibri"/>
        <color rgb="FF000000"/>
        <sz val="11.0"/>
      </rPr>
      <t xml:space="preserve"> are of </t>
    </r>
    <r>
      <rPr>
        <rFont val="Calibri"/>
        <color theme="1"/>
        <sz val="11.0"/>
        <u/>
      </rPr>
      <t>help to understand</t>
    </r>
    <r>
      <rPr>
        <rFont val="Calibri"/>
        <color rgb="FF000000"/>
        <sz val="11.0"/>
      </rPr>
      <t xml:space="preserve"> the presented solution
• The </t>
    </r>
    <r>
      <rPr>
        <rFont val="Calibri"/>
        <color theme="1"/>
        <sz val="11.0"/>
        <u/>
      </rPr>
      <t>context</t>
    </r>
    <r>
      <rPr>
        <rFont val="Calibri"/>
        <color rgb="FF000000"/>
        <sz val="11.0"/>
      </rPr>
      <t xml:space="preserve"> of the project is </t>
    </r>
    <r>
      <rPr>
        <rFont val="Calibri"/>
        <color theme="1"/>
        <sz val="11.0"/>
        <u/>
      </rPr>
      <t>well introduced and contextualized</t>
    </r>
    <r>
      <rPr>
        <rFont val="Calibri"/>
        <color rgb="FF000000"/>
        <sz val="11.0"/>
      </rPr>
      <t xml:space="preserve">
• The report has a </t>
    </r>
    <r>
      <rPr>
        <rFont val="Calibri"/>
        <color theme="1"/>
        <sz val="11.0"/>
        <u/>
      </rPr>
      <t>correct format</t>
    </r>
    <r>
      <rPr>
        <rFont val="Calibri"/>
        <color rgb="FF000000"/>
        <sz val="11.0"/>
      </rPr>
      <t xml:space="preserve">, is </t>
    </r>
    <r>
      <rPr>
        <rFont val="Calibri"/>
        <color theme="1"/>
        <sz val="11.0"/>
        <u/>
      </rPr>
      <t>clearly organized</t>
    </r>
    <r>
      <rPr>
        <rFont val="Calibri"/>
        <color rgb="FF000000"/>
        <sz val="11.0"/>
      </rPr>
      <t xml:space="preserve">, with a logical and </t>
    </r>
    <r>
      <rPr>
        <rFont val="Calibri"/>
        <color theme="1"/>
        <sz val="11.0"/>
        <u/>
      </rPr>
      <t>well-structured</t>
    </r>
    <r>
      <rPr>
        <rFont val="Calibri"/>
        <color rgb="FF000000"/>
        <sz val="11.0"/>
      </rPr>
      <t xml:space="preserve"> index of contents
• </t>
    </r>
    <r>
      <rPr>
        <rFont val="Calibri"/>
        <color theme="1"/>
        <sz val="11.0"/>
        <u/>
      </rPr>
      <t>All required sections</t>
    </r>
    <r>
      <rPr>
        <rFont val="Calibri"/>
        <color rgb="FF000000"/>
        <sz val="11.0"/>
      </rPr>
      <t xml:space="preserve"> have been included
• The report </t>
    </r>
    <r>
      <rPr>
        <rFont val="Calibri"/>
        <color theme="1"/>
        <sz val="11.0"/>
        <u/>
      </rPr>
      <t>length is within the limits</t>
    </r>
  </si>
  <si>
    <r>
      <rPr>
        <rFont val="Calibri"/>
        <color theme="1"/>
        <sz val="11.0"/>
      </rPr>
      <t xml:space="preserve">La entrega responde a la </t>
    </r>
    <r>
      <rPr>
        <rFont val="Calibri"/>
        <color theme="1"/>
        <sz val="11.0"/>
        <u/>
      </rPr>
      <t>mayoría</t>
    </r>
    <r>
      <rPr>
        <rFont val="Calibri"/>
        <color rgb="FF000000"/>
        <sz val="11.0"/>
      </rPr>
      <t xml:space="preserve"> de los siguientes puntos, pero </t>
    </r>
    <r>
      <rPr>
        <rFont val="Calibri"/>
        <color theme="1"/>
        <sz val="11.0"/>
        <u/>
      </rPr>
      <t>no todos</t>
    </r>
    <r>
      <rPr>
        <rFont val="Calibri"/>
        <color rgb="FF000000"/>
        <sz val="11.0"/>
      </rPr>
      <t>:
• Se usa un estilo de redacción adecuado y claro
• El redactado se ha hecho usando un lenguaje inclusivo y no sexista
• Se usan figuras y elementos visuales que ayudan a la comprensión 
• El contexto del trabajo está bien introducido y contextualizado
• La memoria tiene un formato correcto, está organizada de forma clara, con un índice de contenidos lógico y bien estructurado
• Se han incluido todas las secciones requeridas
• La longitud de la memoria se ajusta a la longitud establecida</t>
    </r>
  </si>
  <si>
    <r>
      <rPr>
        <rFont val="Calibri"/>
        <color theme="1"/>
        <sz val="11.0"/>
      </rPr>
      <t xml:space="preserve">El lliurament respon a la </t>
    </r>
    <r>
      <rPr>
        <rFont val="Calibri"/>
        <color theme="1"/>
        <sz val="11.0"/>
        <u/>
      </rPr>
      <t>majoria</t>
    </r>
    <r>
      <rPr>
        <rFont val="Calibri"/>
        <color rgb="FF000000"/>
        <sz val="11.0"/>
      </rPr>
      <t xml:space="preserve"> dels següents punts, però </t>
    </r>
    <r>
      <rPr>
        <rFont val="Calibri"/>
        <color theme="1"/>
        <sz val="11.0"/>
        <u/>
      </rPr>
      <t>no tots</t>
    </r>
    <r>
      <rPr>
        <rFont val="Calibri"/>
        <color rgb="FF000000"/>
        <sz val="11.0"/>
      </rPr>
      <t>:
• Es fa servir un estil de redacció adequat i clar
• El redactat s'ha fet utilitzant un llenguatge inclusiu i no sexista
• S'usen figures i elements visuals que ajuden a la comprensió
• El context del treball està ben introduït i contextualitzat
• La memòria té un format correcte, està organitzada de forma clara, amb un índex de continguts lògic i ben estructurat
• S'han inclòs totes les seccions requerides
• La longitud de la memòria s'ajusta a la longitud establerta</t>
    </r>
  </si>
  <si>
    <r>
      <rPr>
        <rFont val="Calibri"/>
        <color theme="1"/>
        <sz val="11.0"/>
      </rPr>
      <t xml:space="preserve">The submission includes </t>
    </r>
    <r>
      <rPr>
        <rFont val="Calibri"/>
        <color theme="1"/>
        <sz val="11.0"/>
        <u/>
      </rPr>
      <t>most of the following issues</t>
    </r>
    <r>
      <rPr>
        <rFont val="Calibri"/>
        <color rgb="FF000000"/>
        <sz val="11.0"/>
      </rPr>
      <t xml:space="preserve">, but </t>
    </r>
    <r>
      <rPr>
        <rFont val="Calibri"/>
        <color theme="1"/>
        <sz val="11.0"/>
        <u/>
      </rPr>
      <t>not all</t>
    </r>
    <r>
      <rPr>
        <rFont val="Calibri"/>
        <color rgb="FF000000"/>
        <sz val="11.0"/>
      </rPr>
      <t>:
• The writing style is appropriate and clear
• The wording uses inclusive and non-sexist language
• Figures and visual elements are of aid to understand the presented solution
• The context of the work is well introduced and contextualized
• The report has a correct format, is clearly organized, with a logical and well-structured index of contents
• All required sections have been included
• The report length is within the limits</t>
    </r>
  </si>
  <si>
    <r>
      <rPr>
        <rFont val="Calibri"/>
        <color theme="1"/>
        <sz val="11.0"/>
      </rPr>
      <t xml:space="preserve">• Se usa un estilo de redacción adecuado, aunque en </t>
    </r>
    <r>
      <rPr>
        <rFont val="Calibri"/>
        <color theme="1"/>
        <sz val="11.0"/>
        <u/>
      </rPr>
      <t xml:space="preserve">algunas ocasiones el texto no resulta del todo claro
</t>
    </r>
    <r>
      <rPr>
        <rFont val="Calibri"/>
        <color rgb="FF000000"/>
        <sz val="11.0"/>
      </rPr>
      <t xml:space="preserve">• El redactado se ha intentado hacer usando un lenguaje inclusivo y no sexista, aunque en ocasiones </t>
    </r>
    <r>
      <rPr>
        <rFont val="Calibri"/>
        <color theme="1"/>
        <sz val="11.0"/>
        <u/>
      </rPr>
      <t>se podría mejorar</t>
    </r>
    <r>
      <rPr>
        <rFont val="Calibri"/>
        <color rgb="FF000000"/>
        <sz val="11.0"/>
      </rPr>
      <t xml:space="preserve">
• Se usan </t>
    </r>
    <r>
      <rPr>
        <rFont val="Calibri"/>
        <color theme="1"/>
        <sz val="11.0"/>
        <u/>
      </rPr>
      <t>pocas</t>
    </r>
    <r>
      <rPr>
        <rFont val="Calibri"/>
        <color rgb="FF000000"/>
        <sz val="11.0"/>
      </rPr>
      <t xml:space="preserve"> figuras y/o elementos visuales que ayudan a la comprensión 
• El contexto del trabajo está introducido y </t>
    </r>
    <r>
      <rPr>
        <rFont val="Calibri"/>
        <color theme="1"/>
        <sz val="11.0"/>
        <u/>
      </rPr>
      <t>contextualizado de forma básica</t>
    </r>
    <r>
      <rPr>
        <rFont val="Calibri"/>
        <color rgb="FF000000"/>
        <sz val="11.0"/>
      </rPr>
      <t xml:space="preserve">
• La memoria tiene un formato correcto, aunque </t>
    </r>
    <r>
      <rPr>
        <rFont val="Calibri"/>
        <color theme="1"/>
        <sz val="11.0"/>
        <u/>
      </rPr>
      <t>su organización podría haberse hecho de forma más clara</t>
    </r>
    <r>
      <rPr>
        <rFont val="Calibri"/>
        <color rgb="FF000000"/>
        <sz val="11.0"/>
      </rPr>
      <t xml:space="preserve">, lógica o mejor estructurada
• Se han incluido todas las secciones básicas requeridas
• La longitud de la memoria </t>
    </r>
    <r>
      <rPr>
        <rFont val="Calibri"/>
        <color theme="1"/>
        <sz val="11.0"/>
        <u/>
      </rPr>
      <t>se ajusta bastante a la longitud establecida</t>
    </r>
  </si>
  <si>
    <r>
      <rPr>
        <rFont val="Calibri"/>
        <color theme="1"/>
        <sz val="11.0"/>
      </rPr>
      <t xml:space="preserve">• Es fa servir un estil de redacció adequat, encara que en </t>
    </r>
    <r>
      <rPr>
        <rFont val="Calibri"/>
        <color theme="1"/>
        <sz val="11.0"/>
        <u/>
      </rPr>
      <t xml:space="preserve">algunes ocasions el text no resulta del tot clar
</t>
    </r>
    <r>
      <rPr>
        <rFont val="Calibri"/>
        <color rgb="FF000000"/>
        <sz val="11.0"/>
      </rPr>
      <t xml:space="preserve">• El redactat s'ha intentat fer usant un llenguatge inclusiu i no sexista, encara que en ocasions </t>
    </r>
    <r>
      <rPr>
        <rFont val="Calibri"/>
        <color theme="1"/>
        <sz val="11.0"/>
        <u/>
      </rPr>
      <t>es podria millorar</t>
    </r>
    <r>
      <rPr>
        <rFont val="Calibri"/>
        <color rgb="FF000000"/>
        <sz val="11.0"/>
      </rPr>
      <t xml:space="preserve">
• S'usen </t>
    </r>
    <r>
      <rPr>
        <rFont val="Calibri"/>
        <color theme="1"/>
        <sz val="11.0"/>
        <u/>
      </rPr>
      <t>poques</t>
    </r>
    <r>
      <rPr>
        <rFont val="Calibri"/>
        <color rgb="FF000000"/>
        <sz val="11.0"/>
      </rPr>
      <t xml:space="preserve"> figures i/o elements visuals que ajuden a la comprensió
• El context de la feina està introduït i </t>
    </r>
    <r>
      <rPr>
        <rFont val="Calibri"/>
        <color theme="1"/>
        <sz val="11.0"/>
        <u/>
      </rPr>
      <t>contextualitzat de forma bàsica</t>
    </r>
    <r>
      <rPr>
        <rFont val="Calibri"/>
        <color rgb="FF000000"/>
        <sz val="11.0"/>
      </rPr>
      <t xml:space="preserve">
• La memòria té un format correcte, encara que </t>
    </r>
    <r>
      <rPr>
        <rFont val="Calibri"/>
        <color theme="1"/>
        <sz val="11.0"/>
        <u/>
      </rPr>
      <t>la seva organització podria haver-se fet de forma més clara</t>
    </r>
    <r>
      <rPr>
        <rFont val="Calibri"/>
        <color rgb="FF000000"/>
        <sz val="11.0"/>
      </rPr>
      <t>, lògica o millor estructurada
• S'han inclòs totes les seccions bàsiques requerides
• La longitud de la memòria s'</t>
    </r>
    <r>
      <rPr>
        <rFont val="Calibri"/>
        <color theme="1"/>
        <sz val="11.0"/>
        <u/>
      </rPr>
      <t>ajusta en gran mesura</t>
    </r>
    <r>
      <rPr>
        <rFont val="Calibri"/>
        <color rgb="FF000000"/>
        <sz val="11.0"/>
      </rPr>
      <t xml:space="preserve"> a la longitud establerta</t>
    </r>
  </si>
  <si>
    <r>
      <rPr>
        <rFont val="Calibri"/>
        <color theme="1"/>
        <sz val="11.0"/>
      </rPr>
      <t xml:space="preserve">• The writing style is appropriate, although </t>
    </r>
    <r>
      <rPr>
        <rFont val="Calibri"/>
        <color theme="1"/>
        <sz val="11.0"/>
        <u/>
      </rPr>
      <t xml:space="preserve">sometimes the text is not entirely clear
</t>
    </r>
    <r>
      <rPr>
        <rFont val="Calibri"/>
        <color rgb="FF000000"/>
        <sz val="11.0"/>
      </rPr>
      <t xml:space="preserve">• The wording tries to use inclusive and non-sexist language, although sometimes </t>
    </r>
    <r>
      <rPr>
        <rFont val="Calibri"/>
        <color theme="1"/>
        <sz val="11.0"/>
        <u/>
      </rPr>
      <t>it could be improved</t>
    </r>
    <r>
      <rPr>
        <rFont val="Calibri"/>
        <color rgb="FF000000"/>
        <sz val="11.0"/>
      </rPr>
      <t xml:space="preserve">
• </t>
    </r>
    <r>
      <rPr>
        <rFont val="Calibri"/>
        <color theme="1"/>
        <sz val="11.0"/>
        <u/>
      </rPr>
      <t>Few figures and/or visual elements</t>
    </r>
    <r>
      <rPr>
        <rFont val="Calibri"/>
        <color rgb="FF000000"/>
        <sz val="11.0"/>
      </rPr>
      <t xml:space="preserve"> are used to aid understanding the presented solution
• The context of the work is introduced and contextualized in a </t>
    </r>
    <r>
      <rPr>
        <rFont val="Calibri"/>
        <color theme="1"/>
        <sz val="11.0"/>
        <u/>
      </rPr>
      <t>basic way</t>
    </r>
    <r>
      <rPr>
        <rFont val="Calibri"/>
        <color rgb="FF000000"/>
        <sz val="11.0"/>
      </rPr>
      <t xml:space="preserve">
• The report has a correct format, although its organization </t>
    </r>
    <r>
      <rPr>
        <rFont val="Calibri"/>
        <color theme="1"/>
        <sz val="11.0"/>
        <u/>
      </rPr>
      <t>could be clearer or more logical</t>
    </r>
    <r>
      <rPr>
        <rFont val="Calibri"/>
        <color rgb="FF000000"/>
        <sz val="11.0"/>
      </rPr>
      <t xml:space="preserve">
• All required sections have been included
• The report length is </t>
    </r>
    <r>
      <rPr>
        <rFont val="Calibri"/>
        <color theme="1"/>
        <sz val="11.0"/>
        <u/>
      </rPr>
      <t>almost</t>
    </r>
    <r>
      <rPr>
        <rFont val="Calibri"/>
        <color rgb="FF000000"/>
        <sz val="11.0"/>
      </rPr>
      <t xml:space="preserve"> within the limits</t>
    </r>
  </si>
  <si>
    <r>
      <rPr>
        <rFont val="Calibri"/>
        <color theme="1"/>
        <sz val="11.0"/>
      </rPr>
      <t xml:space="preserve">En general, el trabajo del/de la estudiante se puede describir con </t>
    </r>
    <r>
      <rPr>
        <rFont val="Calibri"/>
        <color theme="1"/>
        <sz val="11.0"/>
        <u/>
      </rPr>
      <t>varias de las siguientes afirmaciones</t>
    </r>
    <r>
      <rPr>
        <rFont val="Calibri"/>
        <color rgb="FF000000"/>
        <sz val="11.0"/>
      </rPr>
      <t xml:space="preserve">:
• Se usa un </t>
    </r>
    <r>
      <rPr>
        <rFont val="Calibri"/>
        <color theme="1"/>
        <sz val="11.0"/>
        <u/>
      </rPr>
      <t>estilo de redacción no adecuado</t>
    </r>
    <r>
      <rPr>
        <rFont val="Calibri"/>
        <color rgb="FF000000"/>
        <sz val="11.0"/>
      </rPr>
      <t xml:space="preserve">, o en varias ocasiones el texto no resulta del todo claro
• El redactado se ha hecho usando un lenguaje que </t>
    </r>
    <r>
      <rPr>
        <rFont val="Calibri"/>
        <color theme="1"/>
        <sz val="11.0"/>
        <u/>
      </rPr>
      <t>en ocasiones se puede considerar que no es inclusivo ni no sexista</t>
    </r>
    <r>
      <rPr>
        <rFont val="Calibri"/>
        <color rgb="FF000000"/>
        <sz val="11.0"/>
      </rPr>
      <t xml:space="preserve">
• Se usan </t>
    </r>
    <r>
      <rPr>
        <rFont val="Calibri"/>
        <color theme="1"/>
        <sz val="11.0"/>
        <u/>
      </rPr>
      <t>muy pocas</t>
    </r>
    <r>
      <rPr>
        <rFont val="Calibri"/>
        <color rgb="FF000000"/>
        <sz val="11.0"/>
      </rPr>
      <t xml:space="preserve"> figuras y/o elementos visuales que ayudan a la comprensión 
• El </t>
    </r>
    <r>
      <rPr>
        <rFont val="Calibri"/>
        <color theme="1"/>
        <sz val="11.0"/>
        <u/>
      </rPr>
      <t>contexto del trabajo no está introducido</t>
    </r>
    <r>
      <rPr>
        <rFont val="Calibri"/>
        <color rgb="FF000000"/>
        <sz val="11.0"/>
      </rPr>
      <t xml:space="preserve"> ni contextualizado de forma básica
• La memoria </t>
    </r>
    <r>
      <rPr>
        <rFont val="Calibri"/>
        <color theme="1"/>
        <sz val="11.0"/>
        <u/>
      </rPr>
      <t>no tiene un formato correcto</t>
    </r>
    <r>
      <rPr>
        <rFont val="Calibri"/>
        <color rgb="FF000000"/>
        <sz val="11.0"/>
      </rPr>
      <t xml:space="preserve">, claro o bien estructurado
• </t>
    </r>
    <r>
      <rPr>
        <rFont val="Calibri"/>
        <color theme="1"/>
        <sz val="11.0"/>
        <u/>
      </rPr>
      <t>No se han incluido todas las secciones</t>
    </r>
    <r>
      <rPr>
        <rFont val="Calibri"/>
        <color rgb="FF000000"/>
        <sz val="11.0"/>
      </rPr>
      <t xml:space="preserve"> básicas requeridas
• La longitud de la memoria </t>
    </r>
    <r>
      <rPr>
        <rFont val="Calibri"/>
        <color theme="1"/>
        <sz val="11.0"/>
        <u/>
      </rPr>
      <t>no se ajusta a la longitud establecida</t>
    </r>
  </si>
  <si>
    <r>
      <rPr>
        <rFont val="Calibri"/>
        <color theme="1"/>
        <sz val="11.0"/>
      </rPr>
      <t xml:space="preserve">En general, el treball de l'estudiant es pot descriure amb </t>
    </r>
    <r>
      <rPr>
        <rFont val="Calibri"/>
        <color theme="1"/>
        <sz val="11.0"/>
        <u/>
      </rPr>
      <t>diverses de les següents afirmacions</t>
    </r>
    <r>
      <rPr>
        <rFont val="Calibri"/>
        <color rgb="FF000000"/>
        <sz val="11.0"/>
      </rPr>
      <t xml:space="preserve">:
• Es fa servir un </t>
    </r>
    <r>
      <rPr>
        <rFont val="Calibri"/>
        <color theme="1"/>
        <sz val="11.0"/>
        <u/>
      </rPr>
      <t>estil de redacció no adequat</t>
    </r>
    <r>
      <rPr>
        <rFont val="Calibri"/>
        <color rgb="FF000000"/>
        <sz val="11.0"/>
      </rPr>
      <t xml:space="preserve">, o en diverses ocasions </t>
    </r>
    <r>
      <rPr>
        <rFont val="Calibri"/>
        <color theme="1"/>
        <sz val="11.0"/>
        <u/>
      </rPr>
      <t xml:space="preserve">el text no resulta del tot clar
</t>
    </r>
    <r>
      <rPr>
        <rFont val="Calibri"/>
        <color rgb="FF000000"/>
        <sz val="11.0"/>
      </rPr>
      <t xml:space="preserve">• El redactat s'ha fet utilitzant un llenguatge que </t>
    </r>
    <r>
      <rPr>
        <rFont val="Calibri"/>
        <color theme="1"/>
        <sz val="11.0"/>
        <u/>
      </rPr>
      <t>de vegades es pot considerar que no és inclusiu ni no sexista</t>
    </r>
    <r>
      <rPr>
        <rFont val="Calibri"/>
        <color rgb="FF000000"/>
        <sz val="11.0"/>
      </rPr>
      <t xml:space="preserve">
• S'usen </t>
    </r>
    <r>
      <rPr>
        <rFont val="Calibri"/>
        <color theme="1"/>
        <sz val="11.0"/>
        <u/>
      </rPr>
      <t>molt poques</t>
    </r>
    <r>
      <rPr>
        <rFont val="Calibri"/>
        <color rgb="FF000000"/>
        <sz val="11.0"/>
      </rPr>
      <t xml:space="preserve"> figures i/o elements visuals que ajuden a la comprensió
• El context del treball </t>
    </r>
    <r>
      <rPr>
        <rFont val="Calibri"/>
        <color theme="1"/>
        <sz val="11.0"/>
        <u/>
      </rPr>
      <t>no està introduït ni contextualitzat</t>
    </r>
    <r>
      <rPr>
        <rFont val="Calibri"/>
        <color rgb="FF000000"/>
        <sz val="11.0"/>
      </rPr>
      <t xml:space="preserve"> de forma bàsica
• La memòria </t>
    </r>
    <r>
      <rPr>
        <rFont val="Calibri"/>
        <color theme="1"/>
        <sz val="11.0"/>
        <u/>
      </rPr>
      <t>no té un format correcte</t>
    </r>
    <r>
      <rPr>
        <rFont val="Calibri"/>
        <color rgb="FF000000"/>
        <sz val="11.0"/>
      </rPr>
      <t xml:space="preserve">, clar o ben estructurat
• </t>
    </r>
    <r>
      <rPr>
        <rFont val="Calibri"/>
        <color theme="1"/>
        <sz val="11.0"/>
        <u/>
      </rPr>
      <t>No s'han inclòs totes les seccions</t>
    </r>
    <r>
      <rPr>
        <rFont val="Calibri"/>
        <color rgb="FF000000"/>
        <sz val="11.0"/>
      </rPr>
      <t xml:space="preserve"> bàsiques requerides
• La longitud de la memòria </t>
    </r>
    <r>
      <rPr>
        <rFont val="Calibri"/>
        <color theme="1"/>
        <sz val="11.0"/>
        <u/>
      </rPr>
      <t>no s'ajusta a la longitud establerta</t>
    </r>
  </si>
  <si>
    <r>
      <rPr>
        <rFont val="Calibri"/>
        <color theme="1"/>
        <sz val="11.0"/>
      </rPr>
      <t xml:space="preserve">In general, the report can be described with several of the following statements:
• An </t>
    </r>
    <r>
      <rPr>
        <rFont val="Calibri"/>
        <color theme="1"/>
        <sz val="11.0"/>
        <u/>
      </rPr>
      <t>inappropriate writing style</t>
    </r>
    <r>
      <rPr>
        <rFont val="Calibri"/>
        <color rgb="FF000000"/>
        <sz val="11.0"/>
      </rPr>
      <t xml:space="preserve"> is used, or on </t>
    </r>
    <r>
      <rPr>
        <rFont val="Calibri"/>
        <color theme="1"/>
        <sz val="11.0"/>
        <u/>
      </rPr>
      <t xml:space="preserve">several occasions the text is not entirely clear
</t>
    </r>
    <r>
      <rPr>
        <rFont val="Calibri"/>
        <color rgb="FF000000"/>
        <sz val="11.0"/>
      </rPr>
      <t xml:space="preserve">• The wording has been done using language that </t>
    </r>
    <r>
      <rPr>
        <rFont val="Calibri"/>
        <color theme="1"/>
        <sz val="11.0"/>
        <u/>
      </rPr>
      <t>can sometimes be considered non-inclusive or sexist</t>
    </r>
    <r>
      <rPr>
        <rFont val="Calibri"/>
        <color rgb="FF000000"/>
        <sz val="11.0"/>
      </rPr>
      <t xml:space="preserve">
• </t>
    </r>
    <r>
      <rPr>
        <rFont val="Calibri"/>
        <color theme="1"/>
        <sz val="11.0"/>
        <u/>
      </rPr>
      <t>Very few figures and/or visual elements</t>
    </r>
    <r>
      <rPr>
        <rFont val="Calibri"/>
        <color rgb="FF000000"/>
        <sz val="11.0"/>
      </rPr>
      <t xml:space="preserve"> are used to aid understanding.
• The context of the work is </t>
    </r>
    <r>
      <rPr>
        <rFont val="Calibri"/>
        <color theme="1"/>
        <sz val="11.0"/>
        <u/>
      </rPr>
      <t>not introduced or contextualized</t>
    </r>
    <r>
      <rPr>
        <rFont val="Calibri"/>
        <color rgb="FF000000"/>
        <sz val="11.0"/>
      </rPr>
      <t xml:space="preserve"> in a basic way
• The report </t>
    </r>
    <r>
      <rPr>
        <rFont val="Calibri"/>
        <color theme="1"/>
        <sz val="11.0"/>
        <u/>
      </rPr>
      <t>does not have a correct, clear or well structured format</t>
    </r>
    <r>
      <rPr>
        <rFont val="Calibri"/>
        <color rgb="FF000000"/>
        <sz val="11.0"/>
      </rPr>
      <t xml:space="preserve">
• </t>
    </r>
    <r>
      <rPr>
        <rFont val="Calibri"/>
        <color theme="1"/>
        <sz val="11.0"/>
        <u/>
      </rPr>
      <t>Not all required core sections</t>
    </r>
    <r>
      <rPr>
        <rFont val="Calibri"/>
        <color rgb="FF000000"/>
        <sz val="11.0"/>
      </rPr>
      <t xml:space="preserve"> have been included
• The report length is </t>
    </r>
    <r>
      <rPr>
        <rFont val="Calibri"/>
        <color theme="1"/>
        <sz val="11.0"/>
        <u/>
      </rPr>
      <t>not</t>
    </r>
    <r>
      <rPr>
        <rFont val="Calibri"/>
        <color rgb="FF000000"/>
        <sz val="11.0"/>
      </rPr>
      <t xml:space="preserve"> within the limits</t>
    </r>
  </si>
  <si>
    <r>
      <rPr>
        <rFont val="Calibri"/>
        <color theme="1"/>
        <sz val="11.0"/>
      </rPr>
      <t xml:space="preserve">El trabajo del/de la estudiante se ajusta a </t>
    </r>
    <r>
      <rPr>
        <rFont val="Calibri"/>
        <color theme="1"/>
        <sz val="11.0"/>
        <u/>
      </rPr>
      <t>todas</t>
    </r>
    <r>
      <rPr>
        <rFont val="Calibri"/>
        <color rgb="FF000000"/>
        <sz val="11.0"/>
      </rPr>
      <t xml:space="preserve"> las descripciones siguientes:
• Se usa un estilo de redacción no adecuado, o en varias ocasiones el texto no resulta del todo claro
• El redactado se ha hecho usando un lenguaje no inclusivo o sexista
• Se usan muy pocas figuras y/o elementos visuales que ayudan a la comprensión 
• El contexto del trabajo no está introducido ni contextualizado de forma básica
• La memoria no tiene un formato correcto, claro o bien estructurado
• No se han incluido todas las secciones básicas requeridas
• La longitud de la memoria no se ajusta a la longitud establecida</t>
    </r>
  </si>
  <si>
    <r>
      <rPr>
        <rFont val="Calibri"/>
        <color theme="1"/>
        <sz val="11.0"/>
      </rPr>
      <t xml:space="preserve">El treball de l'estudiant s'ajusta a </t>
    </r>
    <r>
      <rPr>
        <rFont val="Calibri"/>
        <color theme="1"/>
        <sz val="11.0"/>
        <u/>
      </rPr>
      <t>totes</t>
    </r>
    <r>
      <rPr>
        <rFont val="Calibri"/>
        <color rgb="FF000000"/>
        <sz val="11.0"/>
      </rPr>
      <t xml:space="preserve"> les descripcions següents:
• Es fa servir un estil de redacció no adequat, o en diverses ocasions el text no resulta del tot clar
• El redactat s'ha fet utilitzant un llenguatge no inclusiu o sexista
• S'usen molt poques figures i/o elements visuals que ajuden a la comprensió
• El context del treball no està introduït ni contextualitzat de forma bàsica
• La memòria no té un format correcte, clar o ben estructurat
• No s'han inclòs totes les seccions bàsiques requerides
• La longitud de la memòria no s'ajusta a la longitud establerta</t>
    </r>
  </si>
  <si>
    <r>
      <rPr>
        <rFont val="Calibri"/>
        <color theme="1"/>
        <sz val="11.0"/>
      </rPr>
      <t xml:space="preserve">Tthe report satisfies </t>
    </r>
    <r>
      <rPr>
        <rFont val="Calibri"/>
        <color theme="1"/>
        <sz val="11.0"/>
        <u/>
      </rPr>
      <t>all</t>
    </r>
    <r>
      <rPr>
        <rFont val="Calibri"/>
        <color rgb="FF000000"/>
        <sz val="11.0"/>
      </rPr>
      <t xml:space="preserve"> the following statements:
• An inappropriate writing style is used, or on several occasions the text is not entirely clear
• The wording has been done using non-inclusive or sexist language
• Very few figures and/or visual elements are used to aid understanding.
• The context of the work is not introduced or contextualized in a basic way
• The report does not have a correct, clear or well structured format
• Not all required core sections have been included
• The report length is not within the limits</t>
    </r>
  </si>
  <si>
    <t>Fuentes de información y referencias bibliográficas</t>
  </si>
  <si>
    <t>Fonts d'informació i referències bibliogràfiques</t>
  </si>
  <si>
    <t>Information sources and bibliographical references</t>
  </si>
  <si>
    <r>
      <rPr>
        <rFont val="Calibri"/>
        <color theme="1"/>
        <sz val="11.0"/>
      </rPr>
      <t xml:space="preserve">• El texto está </t>
    </r>
    <r>
      <rPr>
        <rFont val="Calibri"/>
        <color theme="1"/>
        <sz val="11.0"/>
        <u/>
      </rPr>
      <t>referenciado y citado correctamente</t>
    </r>
    <r>
      <rPr>
        <rFont val="Calibri"/>
        <color rgb="FF000000"/>
        <sz val="11.0"/>
      </rPr>
      <t xml:space="preserve">
• Es </t>
    </r>
    <r>
      <rPr>
        <rFont val="Calibri"/>
        <color theme="1"/>
        <sz val="11.0"/>
        <u/>
      </rPr>
      <t>perfectamente distinguible</t>
    </r>
    <r>
      <rPr>
        <rFont val="Calibri"/>
        <color rgb="FF000000"/>
        <sz val="11.0"/>
      </rPr>
      <t xml:space="preserve"> la información incluida en la memoria que proviene de </t>
    </r>
    <r>
      <rPr>
        <rFont val="Calibri"/>
        <color theme="1"/>
        <sz val="11.0"/>
        <u/>
      </rPr>
      <t>ideas y del trabajo del/de la estudiante respecto a información extraída de otras fuentes</t>
    </r>
    <r>
      <rPr>
        <rFont val="Calibri"/>
        <color rgb="FF000000"/>
        <sz val="11.0"/>
      </rPr>
      <t xml:space="preserve"> y otros autores
• La </t>
    </r>
    <r>
      <rPr>
        <rFont val="Calibri"/>
        <color theme="1"/>
        <sz val="11.0"/>
        <u/>
      </rPr>
      <t>bibliografía es completa</t>
    </r>
    <r>
      <rPr>
        <rFont val="Calibri"/>
        <color rgb="FF000000"/>
        <sz val="11.0"/>
      </rPr>
      <t xml:space="preserve">, se usa un estilo </t>
    </r>
    <r>
      <rPr>
        <rFont val="Calibri"/>
        <color theme="1"/>
        <sz val="11.0"/>
        <u/>
      </rPr>
      <t>consistente</t>
    </r>
    <r>
      <rPr>
        <rFont val="Calibri"/>
        <color rgb="FF000000"/>
        <sz val="11.0"/>
      </rPr>
      <t xml:space="preserve"> y </t>
    </r>
    <r>
      <rPr>
        <rFont val="Calibri"/>
        <color theme="1"/>
        <sz val="11.0"/>
        <u/>
      </rPr>
      <t>coherente</t>
    </r>
    <r>
      <rPr>
        <rFont val="Calibri"/>
        <color rgb="FF000000"/>
        <sz val="11.0"/>
      </rPr>
      <t xml:space="preserve"> con el tipo de documento redactado
• Se utilizan </t>
    </r>
    <r>
      <rPr>
        <rFont val="Calibri"/>
        <color theme="1"/>
        <sz val="11.0"/>
        <u/>
      </rPr>
      <t>varios tipos de fuentes de información</t>
    </r>
    <r>
      <rPr>
        <rFont val="Calibri"/>
        <color rgb="FF000000"/>
        <sz val="11.0"/>
      </rPr>
      <t xml:space="preserve"> (e.g. artículos, informes, tesis)
• Se ha evaluado el nivel de fiabilidad y credibilidad de diferentes fuentes de información y se han </t>
    </r>
    <r>
      <rPr>
        <rFont val="Calibri"/>
        <color theme="1"/>
        <sz val="11.0"/>
        <u/>
      </rPr>
      <t>priorizado las fuentes más relevantes</t>
    </r>
  </si>
  <si>
    <r>
      <rPr>
        <rFont val="Calibri"/>
        <color theme="1"/>
        <sz val="11.0"/>
      </rPr>
      <t xml:space="preserve">• El text està </t>
    </r>
    <r>
      <rPr>
        <rFont val="Calibri"/>
        <color theme="1"/>
        <sz val="11.0"/>
        <u/>
      </rPr>
      <t>referenciat i citat correctament</t>
    </r>
    <r>
      <rPr>
        <rFont val="Calibri"/>
        <color rgb="FF000000"/>
        <sz val="11.0"/>
      </rPr>
      <t xml:space="preserve">
• És </t>
    </r>
    <r>
      <rPr>
        <rFont val="Calibri"/>
        <color theme="1"/>
        <sz val="11.0"/>
        <u/>
      </rPr>
      <t>perfectament distingible</t>
    </r>
    <r>
      <rPr>
        <rFont val="Calibri"/>
        <color rgb="FF000000"/>
        <sz val="11.0"/>
      </rPr>
      <t xml:space="preserve"> la informació inclosa en la memòria que prové d'</t>
    </r>
    <r>
      <rPr>
        <rFont val="Calibri"/>
        <color theme="1"/>
        <sz val="11.0"/>
        <u/>
      </rPr>
      <t>idees i del treball de l'estudiant respecte a informació extreta d'altres fonts</t>
    </r>
    <r>
      <rPr>
        <rFont val="Calibri"/>
        <color rgb="FF000000"/>
        <sz val="11.0"/>
      </rPr>
      <t xml:space="preserve"> i altres autors
• La </t>
    </r>
    <r>
      <rPr>
        <rFont val="Calibri"/>
        <color theme="1"/>
        <sz val="11.0"/>
        <u/>
      </rPr>
      <t>bibliografia és completa</t>
    </r>
    <r>
      <rPr>
        <rFont val="Calibri"/>
        <color rgb="FF000000"/>
        <sz val="11.0"/>
      </rPr>
      <t xml:space="preserve">, es fa servir un </t>
    </r>
    <r>
      <rPr>
        <rFont val="Calibri"/>
        <color theme="1"/>
        <sz val="11.0"/>
        <u/>
      </rPr>
      <t>estil consistent</t>
    </r>
    <r>
      <rPr>
        <rFont val="Calibri"/>
        <color rgb="FF000000"/>
        <sz val="11.0"/>
      </rPr>
      <t xml:space="preserve"> i </t>
    </r>
    <r>
      <rPr>
        <rFont val="Calibri"/>
        <color theme="1"/>
        <sz val="11.0"/>
        <u/>
      </rPr>
      <t>coherent amb el tipus de document</t>
    </r>
    <r>
      <rPr>
        <rFont val="Calibri"/>
        <color rgb="FF000000"/>
        <sz val="11.0"/>
      </rPr>
      <t xml:space="preserve"> redactat
• S'utilitzen </t>
    </r>
    <r>
      <rPr>
        <rFont val="Calibri"/>
        <color theme="1"/>
        <sz val="11.0"/>
        <u/>
      </rPr>
      <t>diversos tipus de fonts d'informació</t>
    </r>
    <r>
      <rPr>
        <rFont val="Calibri"/>
        <color rgb="FF000000"/>
        <sz val="11.0"/>
      </rPr>
      <t xml:space="preserve"> (e.g. articles, informes, tesis)
• S'ha avaluat el nivell de fiabilitat i credibilitat de diferents fonts d'informació i s'han </t>
    </r>
    <r>
      <rPr>
        <rFont val="Calibri"/>
        <color theme="1"/>
        <sz val="11.0"/>
        <u/>
      </rPr>
      <t>prioritzat les fonts més rellevants</t>
    </r>
  </si>
  <si>
    <r>
      <rPr>
        <rFont val="Calibri"/>
        <color theme="1"/>
        <sz val="11.0"/>
      </rPr>
      <t xml:space="preserve">• The text is </t>
    </r>
    <r>
      <rPr>
        <rFont val="Calibri"/>
        <color theme="1"/>
        <sz val="11.0"/>
        <u/>
      </rPr>
      <t>correctly referenced and cited</t>
    </r>
    <r>
      <rPr>
        <rFont val="Calibri"/>
        <color rgb="FF000000"/>
        <sz val="11.0"/>
      </rPr>
      <t xml:space="preserve">
• The information included in the report that comes from the student's ideas and </t>
    </r>
    <r>
      <rPr>
        <rFont val="Calibri"/>
        <color theme="1"/>
        <sz val="11.0"/>
        <u/>
      </rPr>
      <t>work is perfectly distinguishable from information extracted from other sources and other authors</t>
    </r>
    <r>
      <rPr>
        <rFont val="Calibri"/>
        <color rgb="FF000000"/>
        <sz val="11.0"/>
      </rPr>
      <t xml:space="preserve">
• The </t>
    </r>
    <r>
      <rPr>
        <rFont val="Calibri"/>
        <color theme="1"/>
        <sz val="11.0"/>
        <u/>
      </rPr>
      <t>bibliography is complete</t>
    </r>
    <r>
      <rPr>
        <rFont val="Calibri"/>
        <color rgb="FF000000"/>
        <sz val="11.0"/>
      </rPr>
      <t xml:space="preserve">, a </t>
    </r>
    <r>
      <rPr>
        <rFont val="Calibri"/>
        <color theme="1"/>
        <sz val="11.0"/>
        <u/>
      </rPr>
      <t>consistent style</t>
    </r>
    <r>
      <rPr>
        <rFont val="Calibri"/>
        <color rgb="FF000000"/>
        <sz val="11.0"/>
      </rPr>
      <t xml:space="preserve"> is used and is </t>
    </r>
    <r>
      <rPr>
        <rFont val="Calibri"/>
        <color theme="1"/>
        <sz val="11.0"/>
        <u/>
      </rPr>
      <t>coherent with the type of document</t>
    </r>
    <r>
      <rPr>
        <rFont val="Calibri"/>
        <color rgb="FF000000"/>
        <sz val="11.0"/>
      </rPr>
      <t xml:space="preserve"> written
• </t>
    </r>
    <r>
      <rPr>
        <rFont val="Calibri"/>
        <color theme="1"/>
        <sz val="11.0"/>
        <u/>
      </rPr>
      <t>Various types of information sources</t>
    </r>
    <r>
      <rPr>
        <rFont val="Calibri"/>
        <color rgb="FF000000"/>
        <sz val="11.0"/>
      </rPr>
      <t xml:space="preserve"> are used (e.g. articles, reports, theses)
• The level of reliability and credibility of different sources of information has been evaluated and the </t>
    </r>
    <r>
      <rPr>
        <rFont val="Calibri"/>
        <color theme="1"/>
        <sz val="11.0"/>
        <u/>
      </rPr>
      <t>most relevant sources have been prioritized</t>
    </r>
  </si>
  <si>
    <r>
      <rPr>
        <rFont val="Calibri"/>
        <color theme="1"/>
        <sz val="11.0"/>
      </rPr>
      <t xml:space="preserve">• El texto está referenciado y citado correctamente
• Es perfectamente distinguible la información incluida en la memoria que proviene de ideas y del trabajo del/de la estudiante respecto a información extraída de otras fuentes y otros autores
• La bibliografía es completa, se usa un estilo consistente y coherente con el tipo de documento redactado
• </t>
    </r>
    <r>
      <rPr>
        <rFont val="Calibri"/>
        <color theme="1"/>
        <sz val="11.0"/>
        <u/>
      </rPr>
      <t>No</t>
    </r>
    <r>
      <rPr>
        <rFont val="Calibri"/>
        <color rgb="FF000000"/>
        <sz val="11.0"/>
      </rPr>
      <t xml:space="preserve"> se utilizan varios tipos de fuentes de información (e.g. artículos, informes, tesis)
• Se ha evaluado el nivel de fiabilidad y credibilidad de diferentes fuentes de información y se han priorizado las fuentes más relevantes</t>
    </r>
  </si>
  <si>
    <r>
      <rPr>
        <rFont val="Calibri"/>
        <color theme="1"/>
        <sz val="11.0"/>
      </rPr>
      <t xml:space="preserve">• El text està referenciat i citat correctament
• És perfectament distingible la informació inclosa en la memòria que prové d'idees i del treball de l'estudiant respecte a informació extreta d'altres fonts i altres autors
• La bibliografia és completa, es fa servir un estil consistent i coherent amb el tipus de document redactat
• </t>
    </r>
    <r>
      <rPr>
        <rFont val="Calibri"/>
        <color theme="1"/>
        <sz val="11.0"/>
        <u/>
      </rPr>
      <t>No</t>
    </r>
    <r>
      <rPr>
        <rFont val="Calibri"/>
        <color rgb="FF000000"/>
        <sz val="11.0"/>
      </rPr>
      <t xml:space="preserve"> s'utilitzen diversos tipus de fonts d'informació (e.g. articles, informes, tesis)
• S'ha avaluat el nivell de fiabilitat i credibilitat de diferents fonts d'informació i s'han prioritzat les fonts més rellevants</t>
    </r>
  </si>
  <si>
    <r>
      <rPr>
        <rFont val="Calibri"/>
        <color theme="1"/>
        <sz val="11.0"/>
      </rPr>
      <t xml:space="preserve">• The text is correctly referenced and cited
• The information included in the report that comes from the student's ideas and work is perfectly distinguishable from information extracted from other sources and other authors
• The bibliography is complete, a consistent style is used and is coherent with the type of document written
• Various types of information sources are </t>
    </r>
    <r>
      <rPr>
        <rFont val="Calibri"/>
        <color theme="1"/>
        <sz val="11.0"/>
        <u/>
      </rPr>
      <t>not</t>
    </r>
    <r>
      <rPr>
        <rFont val="Calibri"/>
        <color rgb="FF000000"/>
        <sz val="11.0"/>
      </rPr>
      <t xml:space="preserve"> used (e.g. articles, reports, theses)
• The level of reliability and credibility of different sources of information has been evaluated and the most relevant sources have been prioritized</t>
    </r>
  </si>
  <si>
    <r>
      <rPr>
        <rFont val="Calibri"/>
        <color theme="1"/>
        <sz val="11.0"/>
      </rPr>
      <t xml:space="preserve">• El texto está referenciado y citado correctamente
• Es perfectamente distinguible la información incluida en la memoria que proviene de ideas y del trabajo del/de la estudiante respecto a información extraída de otras fuentes y otros autores
• La bibliografía </t>
    </r>
    <r>
      <rPr>
        <rFont val="Calibri"/>
        <color theme="1"/>
        <sz val="11.0"/>
        <u/>
      </rPr>
      <t>básica</t>
    </r>
    <r>
      <rPr>
        <rFont val="Calibri"/>
        <color rgb="FF000000"/>
        <sz val="11.0"/>
      </rPr>
      <t xml:space="preserve"> es completa, se usa un estilo consistente y coherente con el tipo de documento redactado
• Se utilizan </t>
    </r>
    <r>
      <rPr>
        <rFont val="Calibri"/>
        <color theme="1"/>
        <sz val="11.0"/>
        <u/>
      </rPr>
      <t>diversas fuentes de poca fiabilidad</t>
    </r>
    <r>
      <rPr>
        <rFont val="Calibri"/>
        <color rgb="FF000000"/>
        <sz val="11.0"/>
      </rPr>
      <t xml:space="preserve"> o credibilidad</t>
    </r>
  </si>
  <si>
    <r>
      <rPr>
        <rFont val="Calibri"/>
        <color theme="1"/>
        <sz val="11.0"/>
      </rPr>
      <t xml:space="preserve">• El text està referenciat i citat correctament
• És perfectament distingible la informació inclosa en la memòria que prové d'idees i del treball de l'estudiant respecte a informació extreta d'altres fonts i altres autors
• La bibliografia </t>
    </r>
    <r>
      <rPr>
        <rFont val="Calibri"/>
        <color theme="1"/>
        <sz val="11.0"/>
        <u/>
      </rPr>
      <t>bàsica</t>
    </r>
    <r>
      <rPr>
        <rFont val="Calibri"/>
        <color rgb="FF000000"/>
        <sz val="11.0"/>
      </rPr>
      <t xml:space="preserve"> és completa, es fa servir un estil consistent i coherent amb el tipus de document redactat
• S'utilitzen </t>
    </r>
    <r>
      <rPr>
        <rFont val="Calibri"/>
        <color theme="1"/>
        <sz val="11.0"/>
        <u/>
      </rPr>
      <t>diverses fonts de poca fiabilitat</t>
    </r>
    <r>
      <rPr>
        <rFont val="Calibri"/>
        <color rgb="FF000000"/>
        <sz val="11.0"/>
      </rPr>
      <t xml:space="preserve"> o credibilitat</t>
    </r>
  </si>
  <si>
    <r>
      <rPr>
        <rFont val="Calibri"/>
        <color theme="1"/>
        <sz val="11.0"/>
      </rPr>
      <t xml:space="preserve">• The text is correctly referenced and cited
• The information included in the report that comes from the student's ideas and work is perfectly distinguishable from information extracted from other sources and other authors
• The </t>
    </r>
    <r>
      <rPr>
        <rFont val="Calibri"/>
        <color theme="1"/>
        <sz val="11.0"/>
        <u/>
      </rPr>
      <t>basic</t>
    </r>
    <r>
      <rPr>
        <rFont val="Calibri"/>
        <color rgb="FF000000"/>
        <sz val="11.0"/>
      </rPr>
      <t xml:space="preserve"> bibliography is complete, a consistent style is used and is coherent with the type of document written
• Various </t>
    </r>
    <r>
      <rPr>
        <rFont val="Calibri"/>
        <color theme="1"/>
        <sz val="11.0"/>
        <u/>
      </rPr>
      <t>unreliable sources</t>
    </r>
    <r>
      <rPr>
        <rFont val="Calibri"/>
        <color rgb="FF000000"/>
        <sz val="11.0"/>
      </rPr>
      <t xml:space="preserve"> are used</t>
    </r>
  </si>
  <si>
    <r>
      <rPr>
        <rFont val="Calibri"/>
        <color theme="1"/>
        <sz val="11.0"/>
      </rPr>
      <t xml:space="preserve">• Existen </t>
    </r>
    <r>
      <rPr>
        <rFont val="Calibri"/>
        <color theme="1"/>
        <sz val="11.0"/>
        <u/>
      </rPr>
      <t>ciertos problemas menores</t>
    </r>
    <r>
      <rPr>
        <rFont val="Calibri"/>
        <color rgb="FF000000"/>
        <sz val="11.0"/>
      </rPr>
      <t xml:space="preserve"> con las referencias y las citas en el texto
• </t>
    </r>
    <r>
      <rPr>
        <rFont val="Calibri"/>
        <color theme="1"/>
        <sz val="11.0"/>
        <u/>
      </rPr>
      <t>No es perfectamente distinguible</t>
    </r>
    <r>
      <rPr>
        <rFont val="Calibri"/>
        <color rgb="FF000000"/>
        <sz val="11.0"/>
      </rPr>
      <t xml:space="preserve"> la información incluida en la memoria que proviene de ideas y del trabajo del/de la estudiante respecto a información extraída de otras fuentes y otros autores
• La </t>
    </r>
    <r>
      <rPr>
        <rFont val="Calibri"/>
        <color theme="1"/>
        <sz val="11.0"/>
        <u/>
      </rPr>
      <t>bibliografía básica es incompleta</t>
    </r>
    <r>
      <rPr>
        <rFont val="Calibri"/>
        <color rgb="FF000000"/>
        <sz val="11.0"/>
      </rPr>
      <t xml:space="preserve">, se usa un </t>
    </r>
    <r>
      <rPr>
        <rFont val="Calibri"/>
        <color theme="1"/>
        <sz val="11.0"/>
        <u/>
      </rPr>
      <t>estilo inconsistente</t>
    </r>
    <r>
      <rPr>
        <rFont val="Calibri"/>
        <color rgb="FF000000"/>
        <sz val="11.0"/>
      </rPr>
      <t xml:space="preserve"> o </t>
    </r>
    <r>
      <rPr>
        <rFont val="Calibri"/>
        <color theme="1"/>
        <sz val="11.0"/>
        <u/>
      </rPr>
      <t>no coherente</t>
    </r>
    <r>
      <rPr>
        <rFont val="Calibri"/>
        <color rgb="FF000000"/>
        <sz val="11.0"/>
      </rPr>
      <t xml:space="preserve"> con el tipo de documento redactado</t>
    </r>
  </si>
  <si>
    <r>
      <rPr>
        <rFont val="Calibri"/>
        <color theme="1"/>
        <sz val="11.0"/>
      </rPr>
      <t xml:space="preserve">• Hi ha </t>
    </r>
    <r>
      <rPr>
        <rFont val="Calibri"/>
        <color theme="1"/>
        <sz val="11.0"/>
        <u/>
      </rPr>
      <t>certs problemes menors</t>
    </r>
    <r>
      <rPr>
        <rFont val="Calibri"/>
        <color rgb="FF000000"/>
        <sz val="11.0"/>
      </rPr>
      <t xml:space="preserve"> amb les referències i les cites en el text
• </t>
    </r>
    <r>
      <rPr>
        <rFont val="Calibri"/>
        <color theme="1"/>
        <sz val="11.0"/>
        <u/>
      </rPr>
      <t>No és perfectament distingible</t>
    </r>
    <r>
      <rPr>
        <rFont val="Calibri"/>
        <color rgb="FF000000"/>
        <sz val="11.0"/>
      </rPr>
      <t xml:space="preserve"> la informació inclosa en la memòria que prové d'idees i del treball de l'estudiant respecte a informació extreta d'altres fonts i altres autors
• La </t>
    </r>
    <r>
      <rPr>
        <rFont val="Calibri"/>
        <color theme="1"/>
        <sz val="11.0"/>
        <u/>
      </rPr>
      <t>bibliografia bàsica és incompleta</t>
    </r>
    <r>
      <rPr>
        <rFont val="Calibri"/>
        <color rgb="FF000000"/>
        <sz val="11.0"/>
      </rPr>
      <t xml:space="preserve">, es fa servir un estil </t>
    </r>
    <r>
      <rPr>
        <rFont val="Calibri"/>
        <color theme="1"/>
        <sz val="11.0"/>
        <u/>
      </rPr>
      <t>inconsistent</t>
    </r>
    <r>
      <rPr>
        <rFont val="Calibri"/>
        <color rgb="FF000000"/>
        <sz val="11.0"/>
      </rPr>
      <t xml:space="preserve"> o </t>
    </r>
    <r>
      <rPr>
        <rFont val="Calibri"/>
        <color theme="1"/>
        <sz val="11.0"/>
        <u/>
      </rPr>
      <t>no coherent</t>
    </r>
    <r>
      <rPr>
        <rFont val="Calibri"/>
        <color rgb="FF000000"/>
        <sz val="11.0"/>
      </rPr>
      <t xml:space="preserve"> amb el tipus de document redactat</t>
    </r>
  </si>
  <si>
    <r>
      <rPr>
        <rFont val="Calibri"/>
        <color theme="1"/>
        <sz val="11.0"/>
      </rPr>
      <t xml:space="preserve">• There are </t>
    </r>
    <r>
      <rPr>
        <rFont val="Calibri"/>
        <color theme="1"/>
        <sz val="11.0"/>
        <u/>
      </rPr>
      <t>several minor problems</t>
    </r>
    <r>
      <rPr>
        <rFont val="Calibri"/>
        <color rgb="FF000000"/>
        <sz val="11.0"/>
      </rPr>
      <t xml:space="preserve"> with references and citations in the text
• The information included in the report that comes from the student's ideas and work is </t>
    </r>
    <r>
      <rPr>
        <rFont val="Calibri"/>
        <color theme="1"/>
        <sz val="11.0"/>
        <u/>
      </rPr>
      <t>not perfectly distinguishable</t>
    </r>
    <r>
      <rPr>
        <rFont val="Calibri"/>
        <color rgb="FF000000"/>
        <sz val="11.0"/>
      </rPr>
      <t xml:space="preserve"> from information extracted from other sources and other authors
• The </t>
    </r>
    <r>
      <rPr>
        <rFont val="Calibri"/>
        <color theme="1"/>
        <sz val="11.0"/>
        <u/>
      </rPr>
      <t>basic bibliography is incomplete</t>
    </r>
    <r>
      <rPr>
        <rFont val="Calibri"/>
        <color rgb="FF000000"/>
        <sz val="11.0"/>
      </rPr>
      <t xml:space="preserve">, an </t>
    </r>
    <r>
      <rPr>
        <rFont val="Calibri"/>
        <color theme="1"/>
        <sz val="11.0"/>
        <u/>
      </rPr>
      <t>inconsistent</t>
    </r>
    <r>
      <rPr>
        <rFont val="Calibri"/>
        <color rgb="FF000000"/>
        <sz val="11.0"/>
      </rPr>
      <t xml:space="preserve"> style is used or </t>
    </r>
    <r>
      <rPr>
        <rFont val="Calibri"/>
        <color theme="1"/>
        <sz val="11.0"/>
        <u/>
      </rPr>
      <t>not coherent</t>
    </r>
    <r>
      <rPr>
        <rFont val="Calibri"/>
        <color rgb="FF000000"/>
        <sz val="11.0"/>
      </rPr>
      <t xml:space="preserve"> with the type of document written</t>
    </r>
  </si>
  <si>
    <r>
      <rPr>
        <rFont val="Calibri"/>
        <color theme="1"/>
        <sz val="11.0"/>
      </rPr>
      <t xml:space="preserve">• Existen </t>
    </r>
    <r>
      <rPr>
        <rFont val="Calibri"/>
        <color theme="1"/>
        <sz val="11.0"/>
        <u/>
      </rPr>
      <t>problemas graves</t>
    </r>
    <r>
      <rPr>
        <rFont val="Calibri"/>
        <color rgb="FF000000"/>
        <sz val="11.0"/>
      </rPr>
      <t xml:space="preserve"> con las referencias y las citas en el texto
• </t>
    </r>
    <r>
      <rPr>
        <rFont val="Calibri"/>
        <color theme="1"/>
        <sz val="11.0"/>
        <u/>
      </rPr>
      <t>No</t>
    </r>
    <r>
      <rPr>
        <rFont val="Calibri"/>
        <color rgb="FF000000"/>
        <sz val="11.0"/>
      </rPr>
      <t xml:space="preserve"> se distingue la información incluida en la memoria que proviene de ideas y del trabajo del/de la estudiante respecto a información extraída de otras fuentes y otros autores
• </t>
    </r>
    <r>
      <rPr>
        <rFont val="Calibri"/>
        <color theme="1"/>
        <sz val="11.0"/>
        <u/>
      </rPr>
      <t>Faltan referencias</t>
    </r>
    <r>
      <rPr>
        <rFont val="Calibri"/>
        <color rgb="FF000000"/>
        <sz val="11.0"/>
      </rPr>
      <t xml:space="preserve"> a bibliografía de referencia básica</t>
    </r>
  </si>
  <si>
    <r>
      <rPr>
        <rFont val="Calibri"/>
        <color theme="1"/>
        <sz val="11.0"/>
      </rPr>
      <t xml:space="preserve">• Hi ha </t>
    </r>
    <r>
      <rPr>
        <rFont val="Calibri"/>
        <color theme="1"/>
        <sz val="11.0"/>
        <u/>
      </rPr>
      <t>problemes greus</t>
    </r>
    <r>
      <rPr>
        <rFont val="Calibri"/>
        <color rgb="FF000000"/>
        <sz val="11.0"/>
      </rPr>
      <t xml:space="preserve"> amb les referències i les cites en el text
• </t>
    </r>
    <r>
      <rPr>
        <rFont val="Calibri"/>
        <color theme="1"/>
        <sz val="11.0"/>
        <u/>
      </rPr>
      <t>No es distingeix</t>
    </r>
    <r>
      <rPr>
        <rFont val="Calibri"/>
        <color rgb="FF000000"/>
        <sz val="11.0"/>
      </rPr>
      <t xml:space="preserve"> la informació inclosa en la memòria que prové d'idees i del treball de l'estudiant respecte a informació extreta d'altres fonts i altres autors
• </t>
    </r>
    <r>
      <rPr>
        <rFont val="Calibri"/>
        <color theme="1"/>
        <sz val="11.0"/>
        <u/>
      </rPr>
      <t>Falten referències</t>
    </r>
    <r>
      <rPr>
        <rFont val="Calibri"/>
        <color rgb="FF000000"/>
        <sz val="11.0"/>
      </rPr>
      <t xml:space="preserve"> a la bibliografia de referència bàsica</t>
    </r>
  </si>
  <si>
    <r>
      <rPr>
        <rFont val="Calibri"/>
        <color theme="1"/>
        <sz val="11.0"/>
      </rPr>
      <t xml:space="preserve">• There are </t>
    </r>
    <r>
      <rPr>
        <rFont val="Calibri"/>
        <color theme="1"/>
        <sz val="11.0"/>
        <u/>
      </rPr>
      <t>serious</t>
    </r>
    <r>
      <rPr>
        <rFont val="Calibri"/>
        <color rgb="FF000000"/>
        <sz val="11.0"/>
      </rPr>
      <t xml:space="preserve"> problems with references and citations in the text
• The information included in the report that comes from the student's ideas and work is </t>
    </r>
    <r>
      <rPr>
        <rFont val="Calibri"/>
        <color theme="1"/>
        <sz val="11.0"/>
        <u/>
      </rPr>
      <t>not distinguished</t>
    </r>
    <r>
      <rPr>
        <rFont val="Calibri"/>
        <color rgb="FF000000"/>
        <sz val="11.0"/>
      </rPr>
      <t xml:space="preserve"> from information extracted from other sources and other authors.
• There are </t>
    </r>
    <r>
      <rPr>
        <rFont val="Calibri"/>
        <color theme="1"/>
        <sz val="11.0"/>
        <u/>
      </rPr>
      <t>missing references</t>
    </r>
    <r>
      <rPr>
        <rFont val="Calibri"/>
        <color rgb="FF000000"/>
        <sz val="11.0"/>
      </rPr>
      <t xml:space="preserve"> to basic bibliographic sources</t>
    </r>
  </si>
  <si>
    <t>Defensa del proyecto</t>
  </si>
  <si>
    <t>Defensa del projecte</t>
  </si>
  <si>
    <t>Defence</t>
  </si>
  <si>
    <t>Calidad de la presentación oral y de los recursos visuales</t>
  </si>
  <si>
    <t>Qualitat de la presentació oral i dels recursos visuals</t>
  </si>
  <si>
    <t>Presentation and visual resources</t>
  </si>
  <si>
    <r>
      <rPr>
        <rFont val="Calibri"/>
        <color theme="1"/>
        <sz val="11.0"/>
      </rPr>
      <t xml:space="preserve">• La presentación es </t>
    </r>
    <r>
      <rPr>
        <rFont val="Calibri"/>
        <color theme="1"/>
        <sz val="11.0"/>
        <u/>
      </rPr>
      <t>amena y facilita la comunicación</t>
    </r>
    <r>
      <rPr>
        <rFont val="Calibri"/>
        <color rgb="FF000000"/>
        <sz val="11.0"/>
      </rPr>
      <t xml:space="preserve">
• La presentación se ha hecho con el </t>
    </r>
    <r>
      <rPr>
        <rFont val="Calibri"/>
        <color theme="1"/>
        <sz val="11.0"/>
        <u/>
      </rPr>
      <t>formato y la duración requeridos</t>
    </r>
    <r>
      <rPr>
        <rFont val="Calibri"/>
        <color rgb="FF000000"/>
        <sz val="11.0"/>
      </rPr>
      <t xml:space="preserve"> 
• El/La estudiante gestiona apropiadamente el tono de voz en la exposición (</t>
    </r>
    <r>
      <rPr>
        <rFont val="Calibri"/>
        <color theme="1"/>
        <sz val="11.0"/>
        <u/>
      </rPr>
      <t>claridad, ritmo y pausas, cambios en el tono de voz</t>
    </r>
    <r>
      <rPr>
        <rFont val="Calibri"/>
        <color rgb="FF000000"/>
        <sz val="11.0"/>
      </rPr>
      <t xml:space="preserve">)
• La presentación expone los </t>
    </r>
    <r>
      <rPr>
        <rFont val="Calibri"/>
        <color theme="1"/>
        <sz val="11.0"/>
        <u/>
      </rPr>
      <t>elementos más destacados del trabajo y las conclusiones extraídas</t>
    </r>
  </si>
  <si>
    <r>
      <rPr>
        <rFont val="Calibri"/>
        <color theme="1"/>
        <sz val="11.0"/>
      </rPr>
      <t xml:space="preserve">• La </t>
    </r>
    <r>
      <rPr>
        <rFont val="Calibri"/>
        <color theme="1"/>
        <sz val="11.0"/>
        <u/>
      </rPr>
      <t>presentació és amena</t>
    </r>
    <r>
      <rPr>
        <rFont val="Calibri"/>
        <color rgb="FF000000"/>
        <sz val="11.0"/>
      </rPr>
      <t xml:space="preserve"> i </t>
    </r>
    <r>
      <rPr>
        <rFont val="Calibri"/>
        <color theme="1"/>
        <sz val="11.0"/>
        <u/>
      </rPr>
      <t>facilita la comunicació</t>
    </r>
    <r>
      <rPr>
        <rFont val="Calibri"/>
        <color rgb="FF000000"/>
        <sz val="11.0"/>
      </rPr>
      <t xml:space="preserve">
• La presentació s'ha fet amb el </t>
    </r>
    <r>
      <rPr>
        <rFont val="Calibri"/>
        <color theme="1"/>
        <sz val="11.0"/>
        <u/>
      </rPr>
      <t>format i la durada requerits</t>
    </r>
    <r>
      <rPr>
        <rFont val="Calibri"/>
        <color rgb="FF000000"/>
        <sz val="11.0"/>
      </rPr>
      <t xml:space="preserve">
• L'estudiant gestiona apropiadament el to de veu en l'exposició (</t>
    </r>
    <r>
      <rPr>
        <rFont val="Calibri"/>
        <color theme="1"/>
        <sz val="11.0"/>
        <u/>
      </rPr>
      <t>claredat, ritme i pauses, canvis en el to de veu</t>
    </r>
    <r>
      <rPr>
        <rFont val="Calibri"/>
        <color rgb="FF000000"/>
        <sz val="11.0"/>
      </rPr>
      <t xml:space="preserve">)
• La presentació exposa els </t>
    </r>
    <r>
      <rPr>
        <rFont val="Calibri"/>
        <color theme="1"/>
        <sz val="11.0"/>
        <u/>
      </rPr>
      <t>elements més destacats del treball i les conclusions extretes</t>
    </r>
  </si>
  <si>
    <r>
      <rPr>
        <rFont val="Calibri"/>
        <color theme="1"/>
        <sz val="11.0"/>
      </rPr>
      <t xml:space="preserve">• The presentation is </t>
    </r>
    <r>
      <rPr>
        <rFont val="Calibri"/>
        <color theme="1"/>
        <sz val="11.0"/>
        <u/>
      </rPr>
      <t>enjoyable and facilitates communication</t>
    </r>
    <r>
      <rPr>
        <rFont val="Calibri"/>
        <color rgb="FF000000"/>
        <sz val="11.0"/>
      </rPr>
      <t xml:space="preserve">
• The presentation has the </t>
    </r>
    <r>
      <rPr>
        <rFont val="Calibri"/>
        <color theme="1"/>
        <sz val="11.0"/>
        <u/>
      </rPr>
      <t>required format and duration</t>
    </r>
    <r>
      <rPr>
        <rFont val="Calibri"/>
        <color rgb="FF000000"/>
        <sz val="11.0"/>
      </rPr>
      <t xml:space="preserve">
• The student appropriately manages the tone of voice in the presentation (</t>
    </r>
    <r>
      <rPr>
        <rFont val="Calibri"/>
        <color theme="1"/>
        <sz val="11.0"/>
        <u/>
      </rPr>
      <t>clarity, rhythm and pauses, changes in the tone of voice</t>
    </r>
    <r>
      <rPr>
        <rFont val="Calibri"/>
        <color rgb="FF000000"/>
        <sz val="11.0"/>
      </rPr>
      <t xml:space="preserve">)
• The presentation </t>
    </r>
    <r>
      <rPr>
        <rFont val="Calibri"/>
        <color theme="1"/>
        <sz val="11.0"/>
        <u/>
      </rPr>
      <t>exposes the most outstanding elements</t>
    </r>
    <r>
      <rPr>
        <rFont val="Calibri"/>
        <color rgb="FF000000"/>
        <sz val="11.0"/>
      </rPr>
      <t xml:space="preserve"> of the work and the </t>
    </r>
    <r>
      <rPr>
        <rFont val="Calibri"/>
        <color theme="1"/>
        <sz val="11.0"/>
        <u/>
      </rPr>
      <t>conclusions drawn</t>
    </r>
  </si>
  <si>
    <r>
      <rPr>
        <rFont val="Calibri"/>
        <color theme="1"/>
        <sz val="11.0"/>
      </rPr>
      <t xml:space="preserve">• Cada </t>
    </r>
    <r>
      <rPr>
        <rFont val="Calibri"/>
        <color theme="1"/>
        <sz val="11.0"/>
        <u/>
      </rPr>
      <t>diapositiva es sintética</t>
    </r>
    <r>
      <rPr>
        <rFont val="Calibri"/>
        <color rgb="FF000000"/>
        <sz val="11.0"/>
      </rPr>
      <t xml:space="preserve"> y no contiene un exceso de información, ni redundancias
• La presentación expone los contenidos de </t>
    </r>
    <r>
      <rPr>
        <rFont val="Calibri"/>
        <color theme="1"/>
        <sz val="11.0"/>
        <u/>
      </rPr>
      <t>forma gráfica más que de forma textual</t>
    </r>
    <r>
      <rPr>
        <rFont val="Calibri"/>
        <color rgb="FF000000"/>
        <sz val="11.0"/>
      </rPr>
      <t xml:space="preserve">
• La presentación se ha hecho con el formato y la duración requeridos</t>
    </r>
  </si>
  <si>
    <r>
      <rPr>
        <rFont val="Calibri"/>
        <color theme="1"/>
        <sz val="11.0"/>
      </rPr>
      <t xml:space="preserve">• Cada </t>
    </r>
    <r>
      <rPr>
        <rFont val="Calibri"/>
        <color theme="1"/>
        <sz val="11.0"/>
        <u/>
      </rPr>
      <t>diapositiva és sintètica</t>
    </r>
    <r>
      <rPr>
        <rFont val="Calibri"/>
        <color rgb="FF000000"/>
        <sz val="11.0"/>
      </rPr>
      <t xml:space="preserve"> i no conté un excés d'informació, ni redundàncies
• La presentació exposa els continguts de </t>
    </r>
    <r>
      <rPr>
        <rFont val="Calibri"/>
        <color theme="1"/>
        <sz val="11.0"/>
        <u/>
      </rPr>
      <t>forma gràfica més que de forma textual</t>
    </r>
    <r>
      <rPr>
        <rFont val="Calibri"/>
        <color rgb="FF000000"/>
        <sz val="11.0"/>
      </rPr>
      <t xml:space="preserve">
• La presentació s'ha fet amb el format i la durada requerits</t>
    </r>
  </si>
  <si>
    <r>
      <rPr>
        <rFont val="Calibri"/>
        <color theme="1"/>
        <sz val="11.0"/>
      </rPr>
      <t xml:space="preserve">• </t>
    </r>
    <r>
      <rPr>
        <rFont val="Calibri"/>
        <color theme="1"/>
        <sz val="11.0"/>
        <u/>
      </rPr>
      <t>Each slide is synthetic</t>
    </r>
    <r>
      <rPr>
        <rFont val="Calibri"/>
        <color rgb="FF000000"/>
        <sz val="11.0"/>
      </rPr>
      <t xml:space="preserve"> and does not contain excess information or redundancies
• The presentation exposes the contents </t>
    </r>
    <r>
      <rPr>
        <rFont val="Calibri"/>
        <color theme="1"/>
        <sz val="11.0"/>
        <u/>
      </rPr>
      <t>graphically rather than textually</t>
    </r>
    <r>
      <rPr>
        <rFont val="Calibri"/>
        <color rgb="FF000000"/>
        <sz val="11.0"/>
      </rPr>
      <t xml:space="preserve">
• The presentation has the required format and duration</t>
    </r>
  </si>
  <si>
    <r>
      <rPr>
        <rFont val="Calibri"/>
        <color theme="1"/>
        <sz val="11.0"/>
      </rPr>
      <t xml:space="preserve">• La presentación es </t>
    </r>
    <r>
      <rPr>
        <rFont val="Calibri"/>
        <color theme="1"/>
        <sz val="11.0"/>
        <u/>
      </rPr>
      <t>autocontenida</t>
    </r>
    <r>
      <rPr>
        <rFont val="Calibri"/>
        <color rgb="FF000000"/>
        <sz val="11.0"/>
      </rPr>
      <t xml:space="preserve"> e introduce el trabajo desde cero. Contiene la parte más relevante de la información de la memoria: </t>
    </r>
    <r>
      <rPr>
        <rFont val="Calibri"/>
        <color theme="1"/>
        <sz val="11.0"/>
        <u/>
      </rPr>
      <t>objetivos, planificación, desarrollo y resultados</t>
    </r>
    <r>
      <rPr>
        <rFont val="Calibri"/>
        <color rgb="FF000000"/>
        <sz val="11.0"/>
      </rPr>
      <t xml:space="preserve">
• Visualmente, la presentación </t>
    </r>
    <r>
      <rPr>
        <rFont val="Calibri"/>
        <color theme="1"/>
        <sz val="11.0"/>
        <u/>
      </rPr>
      <t>es mejorable</t>
    </r>
    <r>
      <rPr>
        <rFont val="Calibri"/>
        <color rgb="FF000000"/>
        <sz val="11.0"/>
      </rPr>
      <t xml:space="preserve"> o </t>
    </r>
    <r>
      <rPr>
        <rFont val="Calibri"/>
        <color theme="1"/>
        <sz val="11.0"/>
        <u/>
      </rPr>
      <t>podría reducirse el contenido textual</t>
    </r>
    <r>
      <rPr>
        <rFont val="Calibri"/>
        <color rgb="FF000000"/>
        <sz val="11.0"/>
      </rPr>
      <t xml:space="preserve">. Sin embargo, </t>
    </r>
    <r>
      <rPr>
        <rFont val="Calibri"/>
        <color theme="1"/>
        <sz val="11.0"/>
        <u/>
      </rPr>
      <t>el estilo gráfico</t>
    </r>
    <r>
      <rPr>
        <rFont val="Calibri"/>
        <color rgb="FF000000"/>
        <sz val="11.0"/>
      </rPr>
      <t xml:space="preserve"> (colores, tipos de letra, etc.) </t>
    </r>
    <r>
      <rPr>
        <rFont val="Calibri"/>
        <color theme="1"/>
        <sz val="11.0"/>
        <u/>
      </rPr>
      <t>no dificulta la comprensión de los contenidos</t>
    </r>
    <r>
      <rPr>
        <rFont val="Calibri"/>
        <color rgb="FF000000"/>
        <sz val="11.0"/>
      </rPr>
      <t xml:space="preserve">
• La presentación se ha hecho con el formato y la duración requeridos</t>
    </r>
  </si>
  <si>
    <r>
      <rPr>
        <rFont val="Calibri"/>
        <color theme="1"/>
        <sz val="11.0"/>
      </rPr>
      <t xml:space="preserve">• La presentació és </t>
    </r>
    <r>
      <rPr>
        <rFont val="Calibri"/>
        <color theme="1"/>
        <sz val="11.0"/>
        <u/>
      </rPr>
      <t>autocontinguda</t>
    </r>
    <r>
      <rPr>
        <rFont val="Calibri"/>
        <color rgb="FF000000"/>
        <sz val="11.0"/>
      </rPr>
      <t xml:space="preserve"> i introdueix el treball des de zero. Conté la part més rellevant de la informació de la memòria: </t>
    </r>
    <r>
      <rPr>
        <rFont val="Calibri"/>
        <color theme="1"/>
        <sz val="11.0"/>
        <u/>
      </rPr>
      <t>objectius, planificació, desenvolupament i resultats</t>
    </r>
    <r>
      <rPr>
        <rFont val="Calibri"/>
        <color rgb="FF000000"/>
        <sz val="11.0"/>
      </rPr>
      <t xml:space="preserve">
• Visualment, </t>
    </r>
    <r>
      <rPr>
        <rFont val="Calibri"/>
        <color theme="1"/>
        <sz val="11.0"/>
        <u/>
      </rPr>
      <t>la presentació és millorable</t>
    </r>
    <r>
      <rPr>
        <rFont val="Calibri"/>
        <color rgb="FF000000"/>
        <sz val="11.0"/>
      </rPr>
      <t xml:space="preserve"> o </t>
    </r>
    <r>
      <rPr>
        <rFont val="Calibri"/>
        <color theme="1"/>
        <sz val="11.0"/>
        <u/>
      </rPr>
      <t>podria reduir-se el contingut textual</t>
    </r>
    <r>
      <rPr>
        <rFont val="Calibri"/>
        <color rgb="FF000000"/>
        <sz val="11.0"/>
      </rPr>
      <t xml:space="preserve">. No obstant això, </t>
    </r>
    <r>
      <rPr>
        <rFont val="Calibri"/>
        <color theme="1"/>
        <sz val="11.0"/>
        <u/>
      </rPr>
      <t>l'estil gràfic</t>
    </r>
    <r>
      <rPr>
        <rFont val="Calibri"/>
        <color rgb="FF000000"/>
        <sz val="11.0"/>
      </rPr>
      <t xml:space="preserve"> (colors, tipus de lletra, etc.) </t>
    </r>
    <r>
      <rPr>
        <rFont val="Calibri"/>
        <color theme="1"/>
        <sz val="11.0"/>
        <u/>
      </rPr>
      <t>no dificulta la comprensió dels continguts</t>
    </r>
    <r>
      <rPr>
        <rFont val="Calibri"/>
        <color rgb="FF000000"/>
        <sz val="11.0"/>
      </rPr>
      <t xml:space="preserve">
• La presentació s'ha fet amb el format i la durada requerits</t>
    </r>
  </si>
  <si>
    <r>
      <rPr>
        <rFont val="Calibri"/>
        <color theme="1"/>
        <sz val="11.0"/>
      </rPr>
      <t xml:space="preserve">• The presentation is </t>
    </r>
    <r>
      <rPr>
        <rFont val="Calibri"/>
        <color theme="1"/>
        <sz val="11.0"/>
        <u/>
      </rPr>
      <t>self-contained</t>
    </r>
    <r>
      <rPr>
        <rFont val="Calibri"/>
        <color rgb="FF000000"/>
        <sz val="11.0"/>
      </rPr>
      <t xml:space="preserve"> and introduces the work from scratch. Contains the most relevant part of the report information: </t>
    </r>
    <r>
      <rPr>
        <rFont val="Calibri"/>
        <color theme="1"/>
        <sz val="11.0"/>
        <u/>
      </rPr>
      <t>objectives, planning, development and results</t>
    </r>
    <r>
      <rPr>
        <rFont val="Calibri"/>
        <color rgb="FF000000"/>
        <sz val="11.0"/>
      </rPr>
      <t xml:space="preserve">
• Visually, the </t>
    </r>
    <r>
      <rPr>
        <rFont val="Calibri"/>
        <color theme="1"/>
        <sz val="11.0"/>
        <u/>
      </rPr>
      <t>presentation could be improved</t>
    </r>
    <r>
      <rPr>
        <rFont val="Calibri"/>
        <color rgb="FF000000"/>
        <sz val="11.0"/>
      </rPr>
      <t xml:space="preserve"> or the </t>
    </r>
    <r>
      <rPr>
        <rFont val="Calibri"/>
        <color theme="1"/>
        <sz val="11.0"/>
        <u/>
      </rPr>
      <t>textual content could be reduced</t>
    </r>
    <r>
      <rPr>
        <rFont val="Calibri"/>
        <color rgb="FF000000"/>
        <sz val="11.0"/>
      </rPr>
      <t xml:space="preserve">. However, the </t>
    </r>
    <r>
      <rPr>
        <rFont val="Calibri"/>
        <color theme="1"/>
        <sz val="11.0"/>
        <u/>
      </rPr>
      <t>graphic style</t>
    </r>
    <r>
      <rPr>
        <rFont val="Calibri"/>
        <color rgb="FF000000"/>
        <sz val="11.0"/>
      </rPr>
      <t xml:space="preserve"> (colors, fonts, etc.) </t>
    </r>
    <r>
      <rPr>
        <rFont val="Calibri"/>
        <color theme="1"/>
        <sz val="11.0"/>
        <u/>
      </rPr>
      <t>does not hinder the understanding</t>
    </r>
    <r>
      <rPr>
        <rFont val="Calibri"/>
        <color rgb="FF000000"/>
        <sz val="11.0"/>
      </rPr>
      <t xml:space="preserve"> of the content
• The presentation has the required format and duration</t>
    </r>
  </si>
  <si>
    <r>
      <rPr>
        <rFont val="Calibri"/>
        <color theme="1"/>
        <sz val="11.0"/>
      </rPr>
      <t xml:space="preserve">• La presentación del trabajo </t>
    </r>
    <r>
      <rPr>
        <rFont val="Calibri"/>
        <color theme="1"/>
        <sz val="11.0"/>
        <u/>
      </rPr>
      <t>no incluye sus aspectos más relevantes</t>
    </r>
    <r>
      <rPr>
        <rFont val="Calibri"/>
        <color rgb="FF000000"/>
        <sz val="11.0"/>
      </rPr>
      <t xml:space="preserve"> o, al contrario, </t>
    </r>
    <r>
      <rPr>
        <rFont val="Calibri"/>
        <color theme="1"/>
        <sz val="11.0"/>
        <u/>
      </rPr>
      <t>intenta reproducir la memoria al completo</t>
    </r>
    <r>
      <rPr>
        <rFont val="Calibri"/>
        <color rgb="FF000000"/>
        <sz val="11.0"/>
      </rPr>
      <t xml:space="preserve">
• La presentación se ha hecho con un </t>
    </r>
    <r>
      <rPr>
        <rFont val="Calibri"/>
        <color theme="1"/>
        <sz val="11.0"/>
        <u/>
      </rPr>
      <t>formato o duración incorrectos</t>
    </r>
  </si>
  <si>
    <r>
      <rPr>
        <rFont val="Calibri"/>
        <color theme="1"/>
        <sz val="11.0"/>
      </rPr>
      <t xml:space="preserve">• La presentació del treball </t>
    </r>
    <r>
      <rPr>
        <rFont val="Calibri"/>
        <color theme="1"/>
        <sz val="11.0"/>
        <u/>
      </rPr>
      <t>no inclou els aspectes més rellevants o intenta reproduir la memòria al complet</t>
    </r>
    <r>
      <rPr>
        <rFont val="Calibri"/>
        <color rgb="FF000000"/>
        <sz val="11.0"/>
      </rPr>
      <t xml:space="preserve">
• La presentació s'ha fet en un </t>
    </r>
    <r>
      <rPr>
        <rFont val="Calibri"/>
        <color theme="1"/>
        <sz val="11.0"/>
        <u/>
      </rPr>
      <t>format o durada incorrectes</t>
    </r>
  </si>
  <si>
    <r>
      <rPr>
        <rFont val="Calibri"/>
        <color theme="1"/>
        <sz val="11.0"/>
      </rPr>
      <t xml:space="preserve">• The presentation </t>
    </r>
    <r>
      <rPr>
        <rFont val="Calibri"/>
        <color theme="1"/>
        <sz val="11.0"/>
        <u/>
      </rPr>
      <t>does not include the most relevant aspects of the project</t>
    </r>
    <r>
      <rPr>
        <rFont val="Calibri"/>
        <color rgb="FF000000"/>
        <sz val="11.0"/>
      </rPr>
      <t xml:space="preserve"> or, on the contrary, </t>
    </r>
    <r>
      <rPr>
        <rFont val="Calibri"/>
        <color theme="1"/>
        <sz val="11.0"/>
        <u/>
      </rPr>
      <t>tries to reproduce the report in its entirety</t>
    </r>
    <r>
      <rPr>
        <rFont val="Calibri"/>
        <color rgb="FF000000"/>
        <sz val="11.0"/>
      </rPr>
      <t xml:space="preserve">
• The presentation has an </t>
    </r>
    <r>
      <rPr>
        <rFont val="Calibri"/>
        <color theme="1"/>
        <sz val="11.0"/>
        <u/>
      </rPr>
      <t>incorrect format or duration</t>
    </r>
  </si>
  <si>
    <r>
      <rPr>
        <rFont val="Calibri"/>
        <color theme="1"/>
        <sz val="11.0"/>
      </rPr>
      <t xml:space="preserve">• La presentación del trabajo es </t>
    </r>
    <r>
      <rPr>
        <rFont val="Calibri"/>
        <color theme="1"/>
        <sz val="11.0"/>
        <u/>
      </rPr>
      <t>visualmente deficiente</t>
    </r>
    <r>
      <rPr>
        <rFont val="Calibri"/>
        <color rgb="FF000000"/>
        <sz val="11.0"/>
      </rPr>
      <t xml:space="preserve"> 
• La presentación del trabajo no incluye sus aspectos más relevantes o, al contrario, intenta reproducir la memoria al completo
• La presentación se ha hecho con un formato o duración incorrectos</t>
    </r>
  </si>
  <si>
    <r>
      <rPr>
        <rFont val="Calibri"/>
        <color theme="1"/>
        <sz val="11.0"/>
      </rPr>
      <t xml:space="preserve">• La presentació del treball és </t>
    </r>
    <r>
      <rPr>
        <rFont val="Calibri"/>
        <color theme="1"/>
        <sz val="11.0"/>
        <u/>
      </rPr>
      <t>visualment deficient</t>
    </r>
    <r>
      <rPr>
        <rFont val="Calibri"/>
        <color rgb="FF000000"/>
        <sz val="11.0"/>
      </rPr>
      <t xml:space="preserve">
• La presentació del treball no inclou els aspectes més rellevants o intenta reproduir la memòria al complet
• La presentació s'ha fet en un format o durada incorrectes</t>
    </r>
  </si>
  <si>
    <r>
      <rPr>
        <rFont val="Calibri"/>
        <color theme="1"/>
        <sz val="11.0"/>
      </rPr>
      <t xml:space="preserve">• The presentation is </t>
    </r>
    <r>
      <rPr>
        <rFont val="Calibri"/>
        <color theme="1"/>
        <sz val="11.0"/>
        <u/>
      </rPr>
      <t>visually deficient</t>
    </r>
    <r>
      <rPr>
        <rFont val="Calibri"/>
        <color rgb="FF000000"/>
        <sz val="11.0"/>
      </rPr>
      <t xml:space="preserve">
• The presentation does not include the most relevant aspects of the project or, on the contrary, tries to reproduce the report in its entirety
• The presentation has an incorrect format or duration</t>
    </r>
  </si>
  <si>
    <t xml:space="preserve">Respuesta clara y fundamentada a las preguntas de la comisión </t>
  </si>
  <si>
    <t>Resposta clara i fonamentada a les preguntes de la comissió</t>
  </si>
  <si>
    <t>Clear and well-funded answers to the questions of the board of examiners</t>
  </si>
  <si>
    <r>
      <rPr>
        <rFont val="Calibri"/>
        <color theme="1"/>
        <sz val="11.0"/>
      </rPr>
      <t xml:space="preserve">• Las respuestas evidencian un </t>
    </r>
    <r>
      <rPr>
        <rFont val="Calibri"/>
        <color theme="1"/>
        <sz val="11.0"/>
        <u/>
      </rPr>
      <t>elevado nivel de conocimiento</t>
    </r>
    <r>
      <rPr>
        <rFont val="Calibri"/>
        <color rgb="FF000000"/>
        <sz val="11.0"/>
      </rPr>
      <t xml:space="preserve"> en el ámbito
• El/La estudiante es </t>
    </r>
    <r>
      <rPr>
        <rFont val="Calibri"/>
        <color theme="1"/>
        <sz val="11.0"/>
        <u/>
      </rPr>
      <t>capaz de aportar información adicional</t>
    </r>
    <r>
      <rPr>
        <rFont val="Calibri"/>
        <color rgb="FF000000"/>
        <sz val="11.0"/>
      </rPr>
      <t xml:space="preserve"> en sus respuestas citando, si es preciso, a otros autores relevantes
• El/La estudiante </t>
    </r>
    <r>
      <rPr>
        <rFont val="Calibri"/>
        <color theme="1"/>
        <sz val="11.0"/>
        <u/>
      </rPr>
      <t>es capaz de defender de forma argumentada las decisiones tomadas</t>
    </r>
    <r>
      <rPr>
        <rFont val="Calibri"/>
        <color rgb="FF000000"/>
        <sz val="11.0"/>
      </rPr>
      <t xml:space="preserve"> durante el trabajo
• El/La estudiante muestra evidencias de </t>
    </r>
    <r>
      <rPr>
        <rFont val="Calibri"/>
        <color theme="1"/>
        <sz val="11.0"/>
        <u/>
      </rPr>
      <t>pensamiento crítico</t>
    </r>
    <r>
      <rPr>
        <rFont val="Calibri"/>
        <color rgb="FF000000"/>
        <sz val="11.0"/>
      </rPr>
      <t xml:space="preserve">
• Las </t>
    </r>
    <r>
      <rPr>
        <rFont val="Calibri"/>
        <color theme="1"/>
        <sz val="11.0"/>
        <u/>
      </rPr>
      <t>respuestas son comprensibles y correctas</t>
    </r>
    <r>
      <rPr>
        <rFont val="Calibri"/>
        <color rgb="FF000000"/>
        <sz val="11.0"/>
      </rPr>
      <t xml:space="preserve"> desde el punto de vista del contenido. Además, la </t>
    </r>
    <r>
      <rPr>
        <rFont val="Calibri"/>
        <color theme="1"/>
        <sz val="11.0"/>
        <u/>
      </rPr>
      <t>defensa dura el plazo establecido</t>
    </r>
  </si>
  <si>
    <r>
      <rPr>
        <rFont val="Calibri"/>
        <color theme="1"/>
        <sz val="11.0"/>
      </rPr>
      <t xml:space="preserve">• Les respostes evidencien un </t>
    </r>
    <r>
      <rPr>
        <rFont val="Calibri"/>
        <color theme="1"/>
        <sz val="11.0"/>
        <u/>
      </rPr>
      <t>elevat nivell de coneixement</t>
    </r>
    <r>
      <rPr>
        <rFont val="Calibri"/>
        <color rgb="FF000000"/>
        <sz val="11.0"/>
      </rPr>
      <t xml:space="preserve"> en l'àmbit
• L'estudiant és capaç d'</t>
    </r>
    <r>
      <rPr>
        <rFont val="Calibri"/>
        <color theme="1"/>
        <sz val="11.0"/>
        <u/>
      </rPr>
      <t>aportar informació addicional</t>
    </r>
    <r>
      <rPr>
        <rFont val="Calibri"/>
        <color rgb="FF000000"/>
        <sz val="11.0"/>
      </rPr>
      <t xml:space="preserve"> en les seves respostes citant, si cal, a altres autors rellevants
• L'estudiant és capaç de </t>
    </r>
    <r>
      <rPr>
        <rFont val="Calibri"/>
        <color theme="1"/>
        <sz val="11.0"/>
        <u/>
      </rPr>
      <t>defensar de forma argumentada les decisions preses</t>
    </r>
    <r>
      <rPr>
        <rFont val="Calibri"/>
        <color rgb="FF000000"/>
        <sz val="11.0"/>
      </rPr>
      <t xml:space="preserve"> durant el treball
• L'estudiant mostra evidències de </t>
    </r>
    <r>
      <rPr>
        <rFont val="Calibri"/>
        <color theme="1"/>
        <sz val="11.0"/>
        <u/>
      </rPr>
      <t>pensament crític</t>
    </r>
    <r>
      <rPr>
        <rFont val="Calibri"/>
        <color rgb="FF000000"/>
        <sz val="11.0"/>
      </rPr>
      <t xml:space="preserve">
• Les </t>
    </r>
    <r>
      <rPr>
        <rFont val="Calibri"/>
        <color theme="1"/>
        <sz val="11.0"/>
        <u/>
      </rPr>
      <t>respostes són comprensibles i correctes</t>
    </r>
    <r>
      <rPr>
        <rFont val="Calibri"/>
        <color rgb="FF000000"/>
        <sz val="11.0"/>
      </rPr>
      <t xml:space="preserve"> des del punt de vista del contingut. A més, la defensa </t>
    </r>
    <r>
      <rPr>
        <rFont val="Calibri"/>
        <color theme="1"/>
        <sz val="11.0"/>
        <u/>
      </rPr>
      <t>dura el termini establert</t>
    </r>
  </si>
  <si>
    <r>
      <rPr>
        <rFont val="Calibri"/>
        <color theme="1"/>
        <sz val="11.0"/>
      </rPr>
      <t xml:space="preserve">• The answers show a </t>
    </r>
    <r>
      <rPr>
        <rFont val="Calibri"/>
        <color theme="1"/>
        <sz val="11.0"/>
        <u/>
      </rPr>
      <t>high level of knowledge</t>
    </r>
    <r>
      <rPr>
        <rFont val="Calibri"/>
        <color rgb="FF000000"/>
        <sz val="11.0"/>
      </rPr>
      <t xml:space="preserve"> in the field
• The student is able to provide </t>
    </r>
    <r>
      <rPr>
        <rFont val="Calibri"/>
        <color theme="1"/>
        <sz val="11.0"/>
        <u/>
      </rPr>
      <t>additional information</t>
    </r>
    <r>
      <rPr>
        <rFont val="Calibri"/>
        <color rgb="FF000000"/>
        <sz val="11.0"/>
      </rPr>
      <t xml:space="preserve"> in the answers, citing, if necessary, other relevant authors
• The student is </t>
    </r>
    <r>
      <rPr>
        <rFont val="Calibri"/>
        <color theme="1"/>
        <sz val="11.0"/>
        <u/>
      </rPr>
      <t>capable of defending in an argumentative way the decisions made</t>
    </r>
    <r>
      <rPr>
        <rFont val="Calibri"/>
        <color rgb="FF000000"/>
        <sz val="11.0"/>
      </rPr>
      <t xml:space="preserve"> during the project
• The student shows evidence of </t>
    </r>
    <r>
      <rPr>
        <rFont val="Calibri"/>
        <color theme="1"/>
        <sz val="11.0"/>
        <u/>
      </rPr>
      <t>critical thinking</t>
    </r>
    <r>
      <rPr>
        <rFont val="Calibri"/>
        <color rgb="FF000000"/>
        <sz val="11.0"/>
      </rPr>
      <t xml:space="preserve">
• The </t>
    </r>
    <r>
      <rPr>
        <rFont val="Calibri"/>
        <color theme="1"/>
        <sz val="11.0"/>
        <u/>
      </rPr>
      <t>answers are understandable and correct</t>
    </r>
    <r>
      <rPr>
        <rFont val="Calibri"/>
        <color rgb="FF000000"/>
        <sz val="11.0"/>
      </rPr>
      <t xml:space="preserve"> from the point of view of the content. In addition, the defence is carried out </t>
    </r>
    <r>
      <rPr>
        <rFont val="Calibri"/>
        <color theme="1"/>
        <sz val="11.0"/>
        <u/>
      </rPr>
      <t>within the established time boundaries</t>
    </r>
  </si>
  <si>
    <r>
      <rPr>
        <rFont val="Calibri"/>
        <color theme="1"/>
        <sz val="11.0"/>
      </rPr>
      <t xml:space="preserve">• Las respuestas evidencian un nivel alto de conocimiento, pero </t>
    </r>
    <r>
      <rPr>
        <rFont val="Calibri"/>
        <color theme="1"/>
        <sz val="11.0"/>
        <u/>
      </rPr>
      <t>ciertos argumentos no amplían la información ya expuesta</t>
    </r>
    <r>
      <rPr>
        <rFont val="Calibri"/>
        <color rgb="FF000000"/>
        <sz val="11.0"/>
      </rPr>
      <t xml:space="preserve"> en la memoria o en la presentación
• El/La estudiante es capaz de defender de forma argumentada las decisiones tomadas durante el trabajo.
• Las respuestas son comprensibles y correctas desde el punto de vista del contenido. Además, la defensa dura el plazo establecido</t>
    </r>
  </si>
  <si>
    <r>
      <rPr>
        <rFont val="Calibri"/>
        <color theme="1"/>
        <sz val="11.0"/>
      </rPr>
      <t xml:space="preserve">• Les respostes evidencien un nivell alt de coneixement, però </t>
    </r>
    <r>
      <rPr>
        <rFont val="Calibri"/>
        <color theme="1"/>
        <sz val="11.0"/>
        <u/>
      </rPr>
      <t>certs arguments no amplien la informació ja exposada</t>
    </r>
    <r>
      <rPr>
        <rFont val="Calibri"/>
        <color rgb="FF000000"/>
        <sz val="11.0"/>
      </rPr>
      <t xml:space="preserve"> en la memòria o en la presentació
• L'estudiant és capaç de defensar de forma argumentada les decisions preses durant el treball
• Les respostes són comprensibles i correctes des del punt de vista del contingut. A més, la defensa dura el termini establert</t>
    </r>
  </si>
  <si>
    <r>
      <rPr>
        <rFont val="Calibri"/>
        <color theme="1"/>
        <sz val="11.0"/>
      </rPr>
      <t xml:space="preserve">• The answers show a high level of knowledge, but </t>
    </r>
    <r>
      <rPr>
        <rFont val="Calibri"/>
        <color theme="1"/>
        <sz val="11.0"/>
        <u/>
      </rPr>
      <t>certain arguments do not extend the information already exposed in the report</t>
    </r>
    <r>
      <rPr>
        <rFont val="Calibri"/>
        <color rgb="FF000000"/>
        <sz val="11.0"/>
      </rPr>
      <t xml:space="preserve"> or in the presentation
• The student is capable of defending in an argumentative way the decisions made during the project
• The answers are understandable and correct from the point of view of the content. In addition, the defence is carried out within the established time boundaries</t>
    </r>
  </si>
  <si>
    <r>
      <rPr>
        <rFont val="Calibri"/>
        <color theme="1"/>
        <sz val="11.0"/>
      </rPr>
      <t xml:space="preserve">• </t>
    </r>
    <r>
      <rPr>
        <rFont val="Calibri"/>
        <color theme="1"/>
        <sz val="11.0"/>
        <u/>
      </rPr>
      <t>Comprende las cuestiones técnicas planteadas por el tribunal</t>
    </r>
    <r>
      <rPr>
        <rFont val="Calibri"/>
        <color rgb="FF000000"/>
        <sz val="11.0"/>
      </rPr>
      <t>, pidiendo aclaraciones cuando sea oportuno.
• Las respuestas son comprensibles y correctas desde el punto de vista del contenido. Además, la defensa dura el plazo establecido</t>
    </r>
  </si>
  <si>
    <r>
      <rPr>
        <rFont val="Calibri"/>
        <color theme="1"/>
        <sz val="11.0"/>
      </rPr>
      <t xml:space="preserve">• </t>
    </r>
    <r>
      <rPr>
        <rFont val="Calibri"/>
        <color theme="1"/>
        <sz val="11.0"/>
        <u/>
      </rPr>
      <t>Comprèn les qüestions tècniques plantejades pel tribunal</t>
    </r>
    <r>
      <rPr>
        <rFont val="Calibri"/>
        <color rgb="FF000000"/>
        <sz val="11.0"/>
      </rPr>
      <t>, demanant aclariments quan sigui oportú
• Les respostes són comprensibles i correctes des del punt de vista del contingut. A més, la defensa dura el termini establert</t>
    </r>
  </si>
  <si>
    <r>
      <rPr>
        <rFont val="Calibri"/>
        <color theme="1"/>
        <sz val="11.0"/>
      </rPr>
      <t xml:space="preserve">• The student </t>
    </r>
    <r>
      <rPr>
        <rFont val="Calibri"/>
        <color theme="1"/>
        <sz val="11.0"/>
        <u/>
      </rPr>
      <t>understands the technical questions</t>
    </r>
    <r>
      <rPr>
        <rFont val="Calibri"/>
        <color rgb="FF000000"/>
        <sz val="11.0"/>
      </rPr>
      <t xml:space="preserve"> asked by the board, asking for clarification when appropriate
• The answers are understandable and correct from the point of view of the content. In addition, the defence is carried out within the established time boundaries</t>
    </r>
  </si>
  <si>
    <r>
      <rPr>
        <rFont val="Calibri"/>
        <color theme="1"/>
        <sz val="11.0"/>
      </rPr>
      <t xml:space="preserve">• El/La estudiante </t>
    </r>
    <r>
      <rPr>
        <rFont val="Calibri"/>
        <color theme="1"/>
        <sz val="11.0"/>
        <u/>
      </rPr>
      <t>no</t>
    </r>
    <r>
      <rPr>
        <rFont val="Calibri"/>
        <color rgb="FF000000"/>
        <sz val="11.0"/>
      </rPr>
      <t xml:space="preserve"> es capaz de defender de forma argumentada las decisiones tomadas durante el trabajo.
• Algunas respuestas </t>
    </r>
    <r>
      <rPr>
        <rFont val="Calibri"/>
        <color theme="1"/>
        <sz val="11.0"/>
        <u/>
      </rPr>
      <t>no son comprensibles o del todo correctas</t>
    </r>
    <r>
      <rPr>
        <rFont val="Calibri"/>
        <color rgb="FF000000"/>
        <sz val="11.0"/>
      </rPr>
      <t xml:space="preserve"> desde el punto de vista del contenido. 
• La defensa </t>
    </r>
    <r>
      <rPr>
        <rFont val="Calibri"/>
        <color theme="1"/>
        <sz val="11.0"/>
        <u/>
      </rPr>
      <t>no</t>
    </r>
    <r>
      <rPr>
        <rFont val="Calibri"/>
        <color rgb="FF000000"/>
        <sz val="11.0"/>
      </rPr>
      <t xml:space="preserve"> dura el plazo establecido </t>
    </r>
    <r>
      <rPr>
        <rFont val="Calibri"/>
        <color theme="1"/>
        <sz val="11.0"/>
        <u/>
      </rPr>
      <t>a causa del estudiante</t>
    </r>
  </si>
  <si>
    <r>
      <rPr>
        <rFont val="Calibri"/>
        <color theme="1"/>
        <sz val="11.0"/>
      </rPr>
      <t xml:space="preserve">• L'estudiant </t>
    </r>
    <r>
      <rPr>
        <rFont val="Calibri"/>
        <color theme="1"/>
        <sz val="11.0"/>
        <u/>
      </rPr>
      <t>no</t>
    </r>
    <r>
      <rPr>
        <rFont val="Calibri"/>
        <color rgb="FF000000"/>
        <sz val="11.0"/>
      </rPr>
      <t xml:space="preserve"> és capaç de defensar de forma argumentada les decisions preses durant el treball
• </t>
    </r>
    <r>
      <rPr>
        <rFont val="Calibri"/>
        <color theme="1"/>
        <sz val="11.0"/>
        <u/>
      </rPr>
      <t>Algunes respostes no són comprensibles o del tot correctes</t>
    </r>
    <r>
      <rPr>
        <rFont val="Calibri"/>
        <color rgb="FF000000"/>
        <sz val="11.0"/>
      </rPr>
      <t xml:space="preserve"> des del punt de vista del contingut
• La defensa </t>
    </r>
    <r>
      <rPr>
        <rFont val="Calibri"/>
        <color theme="1"/>
        <sz val="11.0"/>
        <u/>
      </rPr>
      <t>no</t>
    </r>
    <r>
      <rPr>
        <rFont val="Calibri"/>
        <color rgb="FF000000"/>
        <sz val="11.0"/>
      </rPr>
      <t xml:space="preserve"> dura el termini establer </t>
    </r>
    <r>
      <rPr>
        <rFont val="Calibri"/>
        <color theme="1"/>
        <sz val="11.0"/>
        <u/>
      </rPr>
      <t>a causa de l'estudiant</t>
    </r>
  </si>
  <si>
    <r>
      <rPr>
        <rFont val="Calibri"/>
        <color theme="1"/>
        <sz val="11.0"/>
      </rPr>
      <t xml:space="preserve">• The student is </t>
    </r>
    <r>
      <rPr>
        <rFont val="Calibri"/>
        <color theme="1"/>
        <sz val="11.0"/>
        <u/>
      </rPr>
      <t>not</t>
    </r>
    <r>
      <rPr>
        <rFont val="Calibri"/>
        <color rgb="FF000000"/>
        <sz val="11.0"/>
      </rPr>
      <t xml:space="preserve"> capable of defending in an argumentative way the decisions made during the project
• </t>
    </r>
    <r>
      <rPr>
        <rFont val="Calibri"/>
        <color theme="1"/>
        <sz val="11.0"/>
        <u/>
      </rPr>
      <t>Some answers are not understandable or entirely correct</t>
    </r>
    <r>
      <rPr>
        <rFont val="Calibri"/>
        <color rgb="FF000000"/>
        <sz val="11.0"/>
      </rPr>
      <t xml:space="preserve"> from the point of view of content
• The defence is </t>
    </r>
    <r>
      <rPr>
        <rFont val="Calibri"/>
        <color theme="1"/>
        <sz val="11.0"/>
        <u/>
      </rPr>
      <t>not</t>
    </r>
    <r>
      <rPr>
        <rFont val="Calibri"/>
        <color rgb="FF000000"/>
        <sz val="11.0"/>
      </rPr>
      <t xml:space="preserve"> carried out within the established time boundaries </t>
    </r>
    <r>
      <rPr>
        <rFont val="Calibri"/>
        <color theme="1"/>
        <sz val="11.0"/>
        <u/>
      </rPr>
      <t>due to the student</t>
    </r>
  </si>
  <si>
    <r>
      <rPr>
        <rFont val="Calibri"/>
        <color theme="1"/>
        <sz val="11.0"/>
      </rPr>
      <t xml:space="preserve">• Las respuestas son </t>
    </r>
    <r>
      <rPr>
        <rFont val="Calibri"/>
        <color theme="1"/>
        <sz val="11.0"/>
        <u/>
      </rPr>
      <t>inapropiadas</t>
    </r>
    <r>
      <rPr>
        <rFont val="Calibri"/>
        <color rgb="FF000000"/>
        <sz val="11.0"/>
      </rPr>
      <t xml:space="preserve">: </t>
    </r>
    <r>
      <rPr>
        <rFont val="Calibri"/>
        <color theme="1"/>
        <sz val="11.0"/>
        <u/>
      </rPr>
      <t>no se entienden</t>
    </r>
    <r>
      <rPr>
        <rFont val="Calibri"/>
        <color rgb="FF000000"/>
        <sz val="11.0"/>
      </rPr>
      <t xml:space="preserve">, manifiestan </t>
    </r>
    <r>
      <rPr>
        <rFont val="Calibri"/>
        <color theme="1"/>
        <sz val="11.0"/>
        <u/>
      </rPr>
      <t>errores graves</t>
    </r>
    <r>
      <rPr>
        <rFont val="Calibri"/>
        <color rgb="FF000000"/>
        <sz val="11.0"/>
      </rPr>
      <t xml:space="preserve"> o </t>
    </r>
    <r>
      <rPr>
        <rFont val="Calibri"/>
        <color theme="1"/>
        <sz val="11.0"/>
        <u/>
      </rPr>
      <t>no dan respuesta a las preguntas planteadas</t>
    </r>
  </si>
  <si>
    <r>
      <rPr>
        <rFont val="Calibri"/>
        <color theme="1"/>
        <sz val="11.0"/>
      </rPr>
      <t xml:space="preserve">• Les </t>
    </r>
    <r>
      <rPr>
        <rFont val="Calibri"/>
        <color theme="1"/>
        <sz val="11.0"/>
        <u/>
      </rPr>
      <t>respostes són inapropiades</t>
    </r>
    <r>
      <rPr>
        <rFont val="Calibri"/>
        <color rgb="FF000000"/>
        <sz val="11.0"/>
      </rPr>
      <t xml:space="preserve">: </t>
    </r>
    <r>
      <rPr>
        <rFont val="Calibri"/>
        <color theme="1"/>
        <sz val="11.0"/>
        <u/>
      </rPr>
      <t>no s'entenen</t>
    </r>
    <r>
      <rPr>
        <rFont val="Calibri"/>
        <color rgb="FF000000"/>
        <sz val="11.0"/>
      </rPr>
      <t xml:space="preserve">, manifesten </t>
    </r>
    <r>
      <rPr>
        <rFont val="Calibri"/>
        <color theme="1"/>
        <sz val="11.0"/>
        <u/>
      </rPr>
      <t>errors greus</t>
    </r>
    <r>
      <rPr>
        <rFont val="Calibri"/>
        <color rgb="FF000000"/>
        <sz val="11.0"/>
      </rPr>
      <t xml:space="preserve"> o </t>
    </r>
    <r>
      <rPr>
        <rFont val="Calibri"/>
        <color theme="1"/>
        <sz val="11.0"/>
        <u/>
      </rPr>
      <t>no donen resposta a les preguntes plantejades</t>
    </r>
  </si>
  <si>
    <r>
      <rPr>
        <rFont val="Calibri"/>
        <color theme="1"/>
        <sz val="11.0"/>
      </rPr>
      <t xml:space="preserve">• The </t>
    </r>
    <r>
      <rPr>
        <rFont val="Calibri"/>
        <color theme="1"/>
        <sz val="11.0"/>
        <u/>
      </rPr>
      <t>answers are inappropriate</t>
    </r>
    <r>
      <rPr>
        <rFont val="Calibri"/>
        <color rgb="FF000000"/>
        <sz val="11.0"/>
      </rPr>
      <t xml:space="preserve">: they are </t>
    </r>
    <r>
      <rPr>
        <rFont val="Calibri"/>
        <color theme="1"/>
        <sz val="11.0"/>
        <u/>
      </rPr>
      <t>not clear</t>
    </r>
    <r>
      <rPr>
        <rFont val="Calibri"/>
        <color rgb="FF000000"/>
        <sz val="11.0"/>
      </rPr>
      <t xml:space="preserve">, they show </t>
    </r>
    <r>
      <rPr>
        <rFont val="Calibri"/>
        <color theme="1"/>
        <sz val="11.0"/>
        <u/>
      </rPr>
      <t>serious errors</t>
    </r>
    <r>
      <rPr>
        <rFont val="Calibri"/>
        <color rgb="FF000000"/>
        <sz val="11.0"/>
      </rPr>
      <t xml:space="preserve"> or they </t>
    </r>
    <r>
      <rPr>
        <rFont val="Calibri"/>
        <color theme="1"/>
        <sz val="11.0"/>
        <u/>
      </rPr>
      <t>do not give an answer to the asked questions</t>
    </r>
  </si>
  <si>
    <t>Idioma:</t>
  </si>
  <si>
    <t>ES</t>
  </si>
  <si>
    <t>Literales en el Template</t>
  </si>
  <si>
    <t>Literales ES</t>
  </si>
  <si>
    <t>Literales CA</t>
  </si>
  <si>
    <t>Literales EN</t>
  </si>
  <si>
    <t>Nombre del/de la estudiante:</t>
  </si>
  <si>
    <t>Nom de l'estudiant:</t>
  </si>
  <si>
    <t>Student name:</t>
  </si>
  <si>
    <t>Título del trabajo:</t>
  </si>
  <si>
    <t>Títol del treball:</t>
  </si>
  <si>
    <t>Project title:</t>
  </si>
  <si>
    <t xml:space="preserve">Programa:		</t>
  </si>
  <si>
    <t>Programa:</t>
  </si>
  <si>
    <t>Program:</t>
  </si>
  <si>
    <t>Semestre:</t>
  </si>
  <si>
    <t>Semester:</t>
  </si>
  <si>
    <t>Tutor/a:</t>
  </si>
  <si>
    <t>Supervisor:</t>
  </si>
  <si>
    <t>Evaluador/a 1:</t>
  </si>
  <si>
    <t>Avaluador/a 1:</t>
  </si>
  <si>
    <t>Examiner 1:</t>
  </si>
  <si>
    <t>Evaluador/a 2:</t>
  </si>
  <si>
    <t>Avaluador/a 2:</t>
  </si>
  <si>
    <t>Examiner 2:</t>
  </si>
  <si>
    <t>Evaluador/a 3:</t>
  </si>
  <si>
    <t>Avaluador/a 3:</t>
  </si>
  <si>
    <t>Examiner 3:</t>
  </si>
  <si>
    <t xml:space="preserve">Trabajo final - Semestre </t>
  </si>
  <si>
    <t xml:space="preserve">Treball final - Semestre </t>
  </si>
  <si>
    <t xml:space="preserve">Final degree project - Semester </t>
  </si>
  <si>
    <t>Evaluación del tutor/a</t>
  </si>
  <si>
    <t>Avaluació del tutor/a</t>
  </si>
  <si>
    <t>Supervisor's assessment</t>
  </si>
  <si>
    <t>Evaluación del tribunal</t>
  </si>
  <si>
    <t>Avaluació del tribunal</t>
  </si>
  <si>
    <t>Board of examiners' assessment</t>
  </si>
  <si>
    <t>Evaluación final</t>
  </si>
  <si>
    <t>Avaluació final</t>
  </si>
  <si>
    <t>Final assessment</t>
  </si>
  <si>
    <t>Evaluación</t>
  </si>
  <si>
    <t>Avaluació</t>
  </si>
  <si>
    <t>Mark</t>
  </si>
  <si>
    <t>Evaluación final del tutor/a</t>
  </si>
  <si>
    <t>Avaluació final del tutor/a</t>
  </si>
  <si>
    <t>Supervisor's final assessment</t>
  </si>
  <si>
    <t>Evaluación final del tribunal</t>
  </si>
  <si>
    <t>Avaluació final del tribunal</t>
  </si>
  <si>
    <t>Board of examiners' final assessment</t>
  </si>
  <si>
    <t>PEC1: 
Propuesta inicial y planificación</t>
  </si>
  <si>
    <t>PAC1: 
Proposta inicial i planificació</t>
  </si>
  <si>
    <t>Activity 1: 
Initial proposal and planning</t>
  </si>
  <si>
    <t>PEC2:
Desarrollo del proyecto</t>
  </si>
  <si>
    <t>PAC2:
Desenvolupament del projecte</t>
  </si>
  <si>
    <t>Activity 2: 
Design</t>
  </si>
  <si>
    <t>PEC3:
Desarrollo del proyecto</t>
  </si>
  <si>
    <t>PAC3:
Desenvolupament del projecte</t>
  </si>
  <si>
    <t>Activity 3: 
Implementation</t>
  </si>
  <si>
    <t>PEC 4:
Entrega final</t>
  </si>
  <si>
    <t>PAC 4:
Lliurament final</t>
  </si>
  <si>
    <t>Activity 4:
Final report</t>
  </si>
  <si>
    <t>Notas finales de la evaluación del tutor/a</t>
  </si>
  <si>
    <t>Notes finals de l'avaluació del tutor/a</t>
  </si>
  <si>
    <t>Supervisor's final marks</t>
  </si>
  <si>
    <t>Peso</t>
  </si>
  <si>
    <t>Pes</t>
  </si>
  <si>
    <t>Weight</t>
  </si>
  <si>
    <t>Nota media</t>
  </si>
  <si>
    <t>Nota mitjana</t>
  </si>
  <si>
    <t>Average mark</t>
  </si>
  <si>
    <t>Grado de autonomía, creatividad, iniciativa, receptividad a la crítica, y buena comunicación con el tutor/a</t>
  </si>
  <si>
    <t>Calidad de la contribución técnica y/o científica del proyecto. Calidad de la solución/producto en desarrollo/obtenido</t>
  </si>
  <si>
    <t>Appropriate wording, flexible use of inclusive language, and clear and correct organization of the content</t>
  </si>
  <si>
    <t>Respuesta clara y fundamentada a las preguntas de la comisión</t>
  </si>
  <si>
    <t>% PEC en nota final del tutor</t>
  </si>
  <si>
    <t>% PAC en nota final del tutor</t>
  </si>
  <si>
    <t>% weight in the supervisor's final mark</t>
  </si>
  <si>
    <t>Presentación</t>
  </si>
  <si>
    <t>Presentació</t>
  </si>
  <si>
    <t>Presentation</t>
  </si>
  <si>
    <t>Defensa</t>
  </si>
  <si>
    <t>PEC1. Observaciones y recomendaciones:</t>
  </si>
  <si>
    <t>PAC1. Observacions i recomanacions:</t>
  </si>
  <si>
    <t>Activity 1. Remarks and recommendations:</t>
  </si>
  <si>
    <t>PEC2. Observaciones y recomendaciones:</t>
  </si>
  <si>
    <t>PAC2. Observacions i recomanacions:</t>
  </si>
  <si>
    <t>Activity 2. Remarks and recommendations:</t>
  </si>
  <si>
    <t>PEC3. Observaciones y recomendaciones:</t>
  </si>
  <si>
    <t>PAC3. Observacions i recomanacions:</t>
  </si>
  <si>
    <t>Activity 3. Remarks and recommendations:</t>
  </si>
  <si>
    <t>PEC4. Observaciones y recomendaciones:</t>
  </si>
  <si>
    <t>PAC4. Observacions i recomanacions:</t>
  </si>
  <si>
    <t>Activity 4. Remarks and recommendations:</t>
  </si>
  <si>
    <t>PEC5. Observaciones y recomendaciones:</t>
  </si>
  <si>
    <t>PAC5. Observacions i recomanacions:</t>
  </si>
  <si>
    <t>Activity 5. Remarks and recommendations:</t>
  </si>
  <si>
    <t>Observaciones y recomendaciones:</t>
  </si>
  <si>
    <t>Observacions i recomanacions:</t>
  </si>
  <si>
    <t>Remarks and recommendations:</t>
  </si>
  <si>
    <t>Evaluación del Evaluador/a 1</t>
  </si>
  <si>
    <t>Avaluació de l'Avaluador/a 1</t>
  </si>
  <si>
    <t>Examiner 1 assessment:</t>
  </si>
  <si>
    <t>Evaluación del Evaluador/a 2</t>
  </si>
  <si>
    <t>Avaluació de l'Avaluador/a 2</t>
  </si>
  <si>
    <t>Examiner 2 assessment:</t>
  </si>
  <si>
    <t>Evaluación del Evaluador/a 3</t>
  </si>
  <si>
    <t>Avaluació de l'Avaluador/a 3</t>
  </si>
  <si>
    <t>Examiner 3 assessment:</t>
  </si>
  <si>
    <t>Entrega final y defensa</t>
  </si>
  <si>
    <t>Entrega final i defensa</t>
  </si>
  <si>
    <t>Final report and defence</t>
  </si>
  <si>
    <t>Marca esta casilla si crees que este trabajo merece ser considerado para matrícula de honor</t>
  </si>
  <si>
    <t>Marca aquesta casella si creus que aquest treball mereix ser considerat per a matrícula d'honor</t>
  </si>
  <si>
    <t>Check this box if you think this project should get an Excellent with Honours</t>
  </si>
  <si>
    <t>Trabajo propuesto para matrícula de honor</t>
  </si>
  <si>
    <t>Treball proposat per matrícula d'honor</t>
  </si>
  <si>
    <t>Project proposed to get an Excellent with Honours</t>
  </si>
  <si>
    <t>Nombre evaluadores/as:</t>
  </si>
  <si>
    <t>Nom avaluadors/es:</t>
  </si>
  <si>
    <t>Examiners:</t>
  </si>
  <si>
    <t>Participación evaluador/a (0: no participa; 1: participa)</t>
  </si>
  <si>
    <t>Participació avaluador/a (0: no participa; 1: participa)</t>
  </si>
  <si>
    <t>Participation of the examiner (0: does not participate; 1: participates)</t>
  </si>
  <si>
    <t>Evaluador/a 1. Observaciones y recomendaciones:</t>
  </si>
  <si>
    <t>Avaluador/a 1. Observacions i recomanacions:</t>
  </si>
  <si>
    <t>Examiner 1. Remarks and recommendations:</t>
  </si>
  <si>
    <t>Evaluador/a 2. Observaciones y recomendaciones:</t>
  </si>
  <si>
    <t>Avaluador/a 2. Observacions i recomanacions:</t>
  </si>
  <si>
    <t>Examiner 2. Remarks and recommendations:</t>
  </si>
  <si>
    <t>Evaluador/a 3. Observaciones y recomendaciones:</t>
  </si>
  <si>
    <t>Avaluador/a 3. Observacions i recomanacions:</t>
  </si>
  <si>
    <t>Examiner 3. Remarks and recommendations:</t>
  </si>
  <si>
    <t>Tribunal de evaluación</t>
  </si>
  <si>
    <t>Tribunal d'avaluació</t>
  </si>
  <si>
    <t>Board of examiners</t>
  </si>
  <si>
    <t>Nota numérica</t>
  </si>
  <si>
    <t>Nota numèrica</t>
  </si>
  <si>
    <t>Numerical mark</t>
  </si>
  <si>
    <t>Nota categórica</t>
  </si>
  <si>
    <t>Nota categòrica</t>
  </si>
  <si>
    <t>Categorical mark</t>
  </si>
  <si>
    <t xml:space="preserve">Informe de evaluación final del Trabajo Final - Semestre </t>
  </si>
  <si>
    <t xml:space="preserve">Informe d'avaluació final del Treball Final - Semestre </t>
  </si>
  <si>
    <t>Final project assessment report - Semester</t>
  </si>
  <si>
    <t>% peso nota final</t>
  </si>
  <si>
    <t>% pes nota final</t>
  </si>
  <si>
    <t>% weight in the final mark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</si>
</sst>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b/>
      <sz val="14.0"/>
      <color rgb="FF000000"/>
      <name val="Calibri"/>
    </font>
    <font/>
    <font>
      <sz val="12.0"/>
      <color rgb="FF000078"/>
      <name val="Calibri"/>
    </font>
    <font>
      <sz val="11.0"/>
      <color rgb="FF000000"/>
      <name val="Times New Roman"/>
    </font>
    <font>
      <b/>
      <sz val="11.0"/>
      <color rgb="FF000000"/>
      <name val="Calibri"/>
    </font>
    <font>
      <sz val="11.0"/>
      <color theme="1"/>
      <name val="Calibri"/>
    </font>
    <font>
      <sz val="11.0"/>
      <color rgb="FF000000"/>
      <name val="Calibri"/>
    </font>
    <font>
      <sz val="10.0"/>
      <color rgb="FF000000"/>
      <name val="Calibri"/>
    </font>
    <font>
      <b/>
      <sz val="11.0"/>
      <color theme="1"/>
      <name val="Calibri"/>
    </font>
    <font>
      <b/>
      <sz val="10.0"/>
      <color rgb="FF000000"/>
      <name val="Calibri"/>
    </font>
    <font>
      <sz val="11.0"/>
      <color rgb="FFFFFFFF"/>
      <name val="Calibri"/>
    </font>
    <font>
      <sz val="10.0"/>
      <color rgb="FFFFFFFF"/>
      <name val="Calibri"/>
    </font>
    <font>
      <sz val="11.0"/>
      <color rgb="FFFFFFFF"/>
      <name val="Times New Roman"/>
    </font>
    <font>
      <color theme="1"/>
      <name val="Calibri"/>
    </font>
    <font>
      <sz val="24.0"/>
      <color theme="1"/>
      <name val="Calibri"/>
    </font>
    <font>
      <b/>
      <sz val="11.0"/>
      <color rgb="FF000000"/>
      <name val="Arial"/>
    </font>
  </fonts>
  <fills count="23">
    <fill>
      <patternFill patternType="none"/>
    </fill>
    <fill>
      <patternFill patternType="lightGray"/>
    </fill>
    <fill>
      <patternFill patternType="solid">
        <fgColor rgb="FF73EDFF"/>
        <bgColor rgb="FF73EDFF"/>
      </patternFill>
    </fill>
    <fill>
      <patternFill patternType="solid">
        <fgColor rgb="FFFFFFFF"/>
        <bgColor rgb="FFFFFFFF"/>
      </patternFill>
    </fill>
    <fill>
      <patternFill patternType="solid">
        <fgColor rgb="FFEFEFEF"/>
        <bgColor rgb="FFEFEFEF"/>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FFEB84"/>
        <bgColor rgb="FFFFEB84"/>
      </patternFill>
    </fill>
    <fill>
      <patternFill patternType="solid">
        <fgColor rgb="FFFFFF00"/>
        <bgColor rgb="FFFFFF00"/>
      </patternFill>
    </fill>
    <fill>
      <patternFill patternType="solid">
        <fgColor rgb="FFD9D9D9"/>
        <bgColor rgb="FFD9D9D9"/>
      </patternFill>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EAD3"/>
        <bgColor rgb="FFD9EAD3"/>
      </patternFill>
    </fill>
    <fill>
      <patternFill patternType="solid">
        <fgColor rgb="FFB6D7A8"/>
        <bgColor rgb="FFB6D7A8"/>
      </patternFill>
    </fill>
    <fill>
      <patternFill patternType="solid">
        <fgColor rgb="FFD9D2E9"/>
        <bgColor rgb="FFD9D2E9"/>
      </patternFill>
    </fill>
    <fill>
      <patternFill patternType="solid">
        <fgColor rgb="FFB4A7D6"/>
        <bgColor rgb="FFB4A7D6"/>
      </patternFill>
    </fill>
    <fill>
      <patternFill patternType="solid">
        <fgColor rgb="FFF4CCCC"/>
        <bgColor rgb="FFF4CCCC"/>
      </patternFill>
    </fill>
    <fill>
      <patternFill patternType="solid">
        <fgColor rgb="FFEA9999"/>
        <bgColor rgb="FFEA9999"/>
      </patternFill>
    </fill>
    <fill>
      <patternFill patternType="solid">
        <fgColor rgb="FFD0E0E3"/>
        <bgColor rgb="FFD0E0E3"/>
      </patternFill>
    </fill>
    <fill>
      <patternFill patternType="solid">
        <fgColor rgb="FFA2C4C9"/>
        <bgColor rgb="FFA2C4C9"/>
      </patternFill>
    </fill>
  </fills>
  <borders count="103">
    <border/>
    <border>
      <left/>
      <top/>
    </border>
    <border>
      <top/>
    </border>
    <border>
      <left/>
      <top/>
      <bottom/>
    </border>
    <border>
      <top/>
      <bottom/>
    </border>
    <border>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right style="thin">
        <color rgb="FF000000"/>
      </right>
      <top style="thin">
        <color rgb="FF000000"/>
      </top>
      <bottom/>
    </border>
    <border>
      <left/>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right style="thin">
        <color rgb="FF000000"/>
      </right>
      <top style="thin">
        <color rgb="FF000000"/>
      </top>
      <bottom/>
    </border>
    <border>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right/>
      <top/>
      <bottom/>
    </border>
    <border>
      <right style="thin">
        <color rgb="FF000000"/>
      </right>
      <top style="medium">
        <color rgb="FF000000"/>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thin">
        <color rgb="FF000000"/>
      </bottom>
    </border>
    <border>
      <right style="thin">
        <color rgb="FF000000"/>
      </right>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right style="medium">
        <color rgb="FF000000"/>
      </right>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thin">
        <color rgb="FF000000"/>
      </top>
      <bottom/>
    </border>
    <border>
      <left/>
      <right style="medium">
        <color rgb="FF000000"/>
      </right>
      <top/>
      <bottom/>
    </border>
    <border>
      <left style="thin">
        <color rgb="FF000000"/>
      </left>
      <right style="medium">
        <color rgb="FF000000"/>
      </right>
      <top/>
      <bottom/>
    </border>
    <border>
      <left style="medium">
        <color rgb="FF000000"/>
      </left>
      <right/>
      <top style="medium">
        <color rgb="FF000000"/>
      </top>
      <bottom style="thin">
        <color rgb="FF000000"/>
      </bottom>
    </border>
    <border>
      <left style="medium">
        <color rgb="FF000000"/>
      </left>
      <right/>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bottom style="medium">
        <color rgb="FF000000"/>
      </bottom>
    </border>
    <border>
      <left style="medium">
        <color rgb="FF000000"/>
      </left>
      <right/>
      <top/>
      <bottom style="medium">
        <color rgb="FF000000"/>
      </bottom>
    </border>
    <border>
      <left style="thin">
        <color rgb="FF000000"/>
      </left>
      <top/>
      <bottom style="medium">
        <color rgb="FF000000"/>
      </bottom>
    </border>
    <border>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medium">
        <color rgb="FF000000"/>
      </right>
      <top style="medium">
        <color rgb="FF000000"/>
      </top>
      <bottom/>
    </border>
    <border>
      <left/>
      <right style="medium">
        <color rgb="FF000000"/>
      </right>
      <top style="medium">
        <color rgb="FF000000"/>
      </top>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medium">
        <color rgb="FF000000"/>
      </left>
      <top/>
      <bottom/>
    </border>
    <border>
      <right style="medium">
        <color rgb="FF000000"/>
      </right>
      <top/>
      <bottom/>
    </border>
    <border>
      <left style="thin">
        <color rgb="FF000000"/>
      </left>
      <right style="medium">
        <color rgb="FF000000"/>
      </right>
      <top style="thin">
        <color rgb="FF000000"/>
      </top>
    </border>
    <border>
      <right style="thin">
        <color rgb="FF000000"/>
      </right>
      <top style="medium">
        <color rgb="FF000000"/>
      </top>
      <bottom style="medium">
        <color rgb="FF000000"/>
      </bottom>
    </border>
    <border>
      <right style="thin">
        <color rgb="FF000000"/>
      </right>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2" fontId="3" numFmtId="0" xfId="0" applyAlignment="1" applyBorder="1" applyFont="1">
      <alignment horizontal="center" shrinkToFit="0" vertical="center" wrapText="1"/>
    </xf>
    <xf borderId="4" fillId="0" fontId="2" numFmtId="0" xfId="0" applyBorder="1" applyFont="1"/>
    <xf borderId="0" fillId="0" fontId="4" numFmtId="0" xfId="0" applyFont="1"/>
    <xf borderId="5" fillId="0" fontId="2" numFmtId="0" xfId="0" applyBorder="1" applyFont="1"/>
    <xf borderId="0" fillId="0" fontId="1" numFmtId="0" xfId="0" applyAlignment="1" applyFont="1">
      <alignment horizontal="left" shrinkToFit="0" vertical="center" wrapText="1"/>
    </xf>
    <xf borderId="0" fillId="0" fontId="3" numFmtId="0" xfId="0" applyAlignment="1" applyFont="1">
      <alignment horizontal="center" shrinkToFit="0" vertical="center" wrapText="1"/>
    </xf>
    <xf borderId="6" fillId="0" fontId="5" numFmtId="0" xfId="0" applyAlignment="1" applyBorder="1" applyFont="1">
      <alignment horizontal="right" vertical="top"/>
    </xf>
    <xf borderId="7" fillId="0" fontId="2" numFmtId="0" xfId="0" applyBorder="1" applyFont="1"/>
    <xf borderId="7" fillId="0" fontId="6" numFmtId="0" xfId="0" applyAlignment="1" applyBorder="1" applyFont="1">
      <alignment shrinkToFit="0" vertical="top" wrapText="1"/>
    </xf>
    <xf borderId="8" fillId="0" fontId="2" numFmtId="0" xfId="0" applyBorder="1" applyFont="1"/>
    <xf borderId="0" fillId="0" fontId="7" numFmtId="0" xfId="0" applyAlignment="1" applyFont="1">
      <alignment vertical="top"/>
    </xf>
    <xf borderId="0" fillId="0" fontId="4" numFmtId="0" xfId="0" applyAlignment="1" applyFont="1">
      <alignment vertical="top"/>
    </xf>
    <xf borderId="9" fillId="0" fontId="5" numFmtId="0" xfId="0" applyAlignment="1" applyBorder="1" applyFont="1">
      <alignment horizontal="right" vertical="top"/>
    </xf>
    <xf borderId="0" fillId="0" fontId="7" numFmtId="0" xfId="0" applyAlignment="1" applyFont="1">
      <alignment horizontal="left" shrinkToFit="0" vertical="top" wrapText="1"/>
    </xf>
    <xf borderId="10" fillId="0" fontId="2" numFmtId="0" xfId="0" applyBorder="1" applyFont="1"/>
    <xf borderId="0" fillId="0" fontId="7" numFmtId="49" xfId="0" applyAlignment="1" applyFont="1" applyNumberFormat="1">
      <alignment horizontal="left" shrinkToFit="0" vertical="top" wrapText="1"/>
    </xf>
    <xf borderId="0" fillId="0" fontId="6" numFmtId="0" xfId="0" applyAlignment="1" applyFont="1">
      <alignment shrinkToFit="0" vertical="top" wrapText="1"/>
    </xf>
    <xf borderId="11" fillId="0" fontId="5" numFmtId="0" xfId="0" applyAlignment="1" applyBorder="1" applyFont="1">
      <alignment horizontal="right" vertical="top"/>
    </xf>
    <xf borderId="12" fillId="0" fontId="2" numFmtId="0" xfId="0" applyBorder="1" applyFont="1"/>
    <xf borderId="12" fillId="0" fontId="6" numFmtId="0" xfId="0" applyAlignment="1" applyBorder="1" applyFont="1">
      <alignment shrinkToFit="0" vertical="top" wrapText="1"/>
    </xf>
    <xf borderId="13" fillId="0" fontId="2" numFmtId="0" xfId="0" applyBorder="1" applyFont="1"/>
    <xf borderId="0" fillId="0" fontId="8" numFmtId="0" xfId="0" applyAlignment="1" applyFont="1">
      <alignment horizontal="left" shrinkToFit="0" vertical="center" wrapText="1"/>
    </xf>
    <xf borderId="14" fillId="0" fontId="9" numFmtId="0" xfId="0" applyAlignment="1" applyBorder="1" applyFont="1">
      <alignment horizontal="center" vertical="center"/>
    </xf>
    <xf borderId="15" fillId="0" fontId="2" numFmtId="0" xfId="0" applyBorder="1" applyFont="1"/>
    <xf borderId="16" fillId="0" fontId="2" numFmtId="0" xfId="0" applyBorder="1" applyFont="1"/>
    <xf borderId="0" fillId="0" fontId="9" numFmtId="0" xfId="0" applyAlignment="1" applyFont="1">
      <alignment horizontal="center" vertical="center"/>
    </xf>
    <xf borderId="17" fillId="0" fontId="4" numFmtId="0" xfId="0" applyAlignment="1" applyBorder="1" applyFont="1">
      <alignment horizontal="center" vertical="center"/>
    </xf>
    <xf borderId="14" fillId="0" fontId="4" numFmtId="0" xfId="0" applyAlignment="1" applyBorder="1" applyFont="1">
      <alignment horizontal="center" vertical="center"/>
    </xf>
    <xf borderId="0" fillId="0" fontId="4" numFmtId="0" xfId="0" applyAlignment="1" applyFont="1">
      <alignment horizontal="center" vertical="center"/>
    </xf>
    <xf borderId="18" fillId="3" fontId="5" numFmtId="0" xfId="0" applyAlignment="1" applyBorder="1" applyFill="1" applyFont="1">
      <alignment horizontal="center" vertical="center"/>
    </xf>
    <xf borderId="19" fillId="0" fontId="2" numFmtId="0" xfId="0" applyBorder="1" applyFont="1"/>
    <xf borderId="20" fillId="0" fontId="2" numFmtId="0" xfId="0" applyBorder="1" applyFont="1"/>
    <xf borderId="21" fillId="3" fontId="5" numFmtId="0" xfId="0" applyAlignment="1" applyBorder="1" applyFont="1">
      <alignment horizontal="center" shrinkToFit="0" vertical="center" wrapText="1"/>
    </xf>
    <xf borderId="18" fillId="3" fontId="5" numFmtId="0" xfId="0" applyAlignment="1" applyBorder="1" applyFont="1">
      <alignment horizontal="center" shrinkToFit="0" vertical="center" wrapText="1"/>
    </xf>
    <xf borderId="14" fillId="3" fontId="5" numFmtId="0" xfId="0" applyAlignment="1" applyBorder="1" applyFont="1">
      <alignment horizontal="center" shrinkToFit="0" vertical="center" wrapText="1"/>
    </xf>
    <xf borderId="14" fillId="4" fontId="5" numFmtId="0" xfId="0" applyAlignment="1" applyBorder="1" applyFill="1" applyFont="1">
      <alignment horizontal="left" shrinkToFit="0" vertical="center" wrapText="1"/>
    </xf>
    <xf borderId="22" fillId="4" fontId="5" numFmtId="0" xfId="0" applyAlignment="1" applyBorder="1" applyFont="1">
      <alignment horizontal="center" shrinkToFit="0" vertical="center" wrapText="1"/>
    </xf>
    <xf borderId="23" fillId="4" fontId="5" numFmtId="0" xfId="0" applyAlignment="1" applyBorder="1" applyFont="1">
      <alignment horizontal="center" shrinkToFit="0" vertical="center" wrapText="1"/>
    </xf>
    <xf borderId="18" fillId="4" fontId="5" numFmtId="0" xfId="0" applyAlignment="1" applyBorder="1" applyFont="1">
      <alignment horizontal="center" shrinkToFit="0" vertical="center" wrapText="1"/>
    </xf>
    <xf borderId="14" fillId="0" fontId="5" numFmtId="0" xfId="0" applyAlignment="1" applyBorder="1" applyFont="1">
      <alignment horizontal="center" shrinkToFit="0" vertical="center" wrapText="1"/>
    </xf>
    <xf borderId="0" fillId="0" fontId="5" numFmtId="0" xfId="0" applyAlignment="1" applyFont="1">
      <alignment horizontal="left" shrinkToFit="0" vertical="center" wrapText="1"/>
    </xf>
    <xf borderId="24" fillId="0" fontId="7" numFmtId="0" xfId="0" applyAlignment="1" applyBorder="1" applyFont="1">
      <alignment shrinkToFit="0" vertical="center" wrapText="1"/>
    </xf>
    <xf borderId="25" fillId="0" fontId="2" numFmtId="0" xfId="0" applyBorder="1" applyFont="1"/>
    <xf borderId="26" fillId="0" fontId="2" numFmtId="0" xfId="0" applyBorder="1" applyFont="1"/>
    <xf borderId="27" fillId="5" fontId="10" numFmtId="0" xfId="0" applyAlignment="1" applyBorder="1" applyFill="1" applyFont="1">
      <alignment horizontal="center" shrinkToFit="0" vertical="center" wrapText="1"/>
    </xf>
    <xf borderId="28" fillId="0" fontId="10" numFmtId="0" xfId="0" applyAlignment="1" applyBorder="1" applyFont="1">
      <alignment horizontal="center" vertical="center"/>
    </xf>
    <xf borderId="29" fillId="5" fontId="10" numFmtId="0" xfId="0" applyAlignment="1" applyBorder="1" applyFont="1">
      <alignment horizontal="center" shrinkToFit="0" vertical="center" wrapText="1"/>
    </xf>
    <xf borderId="30" fillId="0" fontId="10" numFmtId="0" xfId="0" applyAlignment="1" applyBorder="1" applyFont="1">
      <alignment horizontal="center" vertical="center"/>
    </xf>
    <xf borderId="31" fillId="0" fontId="8" numFmtId="0" xfId="0" applyAlignment="1" applyBorder="1" applyFont="1">
      <alignment horizontal="center" vertical="center"/>
    </xf>
    <xf borderId="32" fillId="0" fontId="2" numFmtId="0" xfId="0" applyBorder="1" applyFont="1"/>
    <xf borderId="33" fillId="0" fontId="8" numFmtId="10" xfId="0" applyAlignment="1" applyBorder="1" applyFont="1" applyNumberFormat="1">
      <alignment horizontal="right" vertical="center"/>
    </xf>
    <xf borderId="34" fillId="0" fontId="8" numFmtId="10" xfId="0" applyAlignment="1" applyBorder="1" applyFont="1" applyNumberFormat="1">
      <alignment horizontal="right"/>
    </xf>
    <xf borderId="0" fillId="0" fontId="11" numFmtId="0" xfId="0" applyAlignment="1" applyFont="1">
      <alignment horizontal="right"/>
    </xf>
    <xf borderId="0" fillId="0" fontId="11" numFmtId="0" xfId="0" applyAlignment="1" applyFont="1">
      <alignment vertical="center"/>
    </xf>
    <xf borderId="0" fillId="0" fontId="4" numFmtId="0" xfId="0" applyAlignment="1" applyFont="1">
      <alignment vertical="center"/>
    </xf>
    <xf borderId="9" fillId="0" fontId="8" numFmtId="10" xfId="0" applyAlignment="1" applyBorder="1" applyFont="1" applyNumberFormat="1">
      <alignment horizontal="right" vertical="center"/>
    </xf>
    <xf borderId="10" fillId="0" fontId="8" numFmtId="0" xfId="0" applyAlignment="1" applyBorder="1" applyFont="1">
      <alignment horizontal="right" vertical="center"/>
    </xf>
    <xf borderId="0" fillId="0" fontId="11" numFmtId="0" xfId="0" applyAlignment="1" applyFont="1">
      <alignment horizontal="right" vertical="center"/>
    </xf>
    <xf borderId="0" fillId="0" fontId="6" numFmtId="0" xfId="0" applyFont="1"/>
    <xf borderId="35" fillId="5" fontId="10" numFmtId="0" xfId="0" applyAlignment="1" applyBorder="1" applyFont="1">
      <alignment horizontal="center" shrinkToFit="0" vertical="center" wrapText="1"/>
    </xf>
    <xf borderId="35" fillId="0" fontId="10" numFmtId="0" xfId="0" applyAlignment="1" applyBorder="1" applyFont="1">
      <alignment horizontal="center" vertical="center"/>
    </xf>
    <xf borderId="36" fillId="0" fontId="10" numFmtId="0" xfId="0" applyAlignment="1" applyBorder="1" applyFont="1">
      <alignment horizontal="center" vertical="center"/>
    </xf>
    <xf borderId="37" fillId="0" fontId="8" numFmtId="10" xfId="0" applyAlignment="1" applyBorder="1" applyFont="1" applyNumberFormat="1">
      <alignment horizontal="right" vertical="center"/>
    </xf>
    <xf borderId="38" fillId="0" fontId="8" numFmtId="10" xfId="0" applyAlignment="1" applyBorder="1" applyFont="1" applyNumberFormat="1">
      <alignment horizontal="right" vertical="center"/>
    </xf>
    <xf borderId="11" fillId="0" fontId="7" numFmtId="0" xfId="0" applyAlignment="1" applyBorder="1" applyFont="1">
      <alignment shrinkToFit="0" vertical="center" wrapText="1"/>
    </xf>
    <xf borderId="39" fillId="5" fontId="10" numFmtId="0" xfId="0" applyAlignment="1" applyBorder="1" applyFont="1">
      <alignment horizontal="center" shrinkToFit="0" vertical="center" wrapText="1"/>
    </xf>
    <xf borderId="40" fillId="0" fontId="10" numFmtId="0" xfId="0" applyAlignment="1" applyBorder="1" applyFont="1">
      <alignment horizontal="center" vertical="center"/>
    </xf>
    <xf borderId="41" fillId="0" fontId="10" numFmtId="0" xfId="0" applyAlignment="1" applyBorder="1" applyFont="1">
      <alignment horizontal="center" vertical="center"/>
    </xf>
    <xf borderId="42" fillId="0" fontId="8" numFmtId="0" xfId="0" applyAlignment="1" applyBorder="1" applyFont="1">
      <alignment horizontal="center" vertical="center"/>
    </xf>
    <xf borderId="43" fillId="0" fontId="2" numFmtId="0" xfId="0" applyBorder="1" applyFont="1"/>
    <xf borderId="44" fillId="0" fontId="8" numFmtId="10" xfId="0" applyAlignment="1" applyBorder="1" applyFont="1" applyNumberFormat="1">
      <alignment horizontal="right" vertical="center"/>
    </xf>
    <xf borderId="45" fillId="0" fontId="2" numFmtId="0" xfId="0" applyBorder="1" applyFont="1"/>
    <xf borderId="6" fillId="0" fontId="7" numFmtId="0" xfId="0" applyAlignment="1" applyBorder="1" applyFont="1">
      <alignment horizontal="left" shrinkToFit="0" vertical="center" wrapText="1"/>
    </xf>
    <xf borderId="46" fillId="5" fontId="10" numFmtId="0" xfId="0" applyAlignment="1" applyBorder="1" applyFont="1">
      <alignment horizontal="center" shrinkToFit="0" vertical="center" wrapText="1"/>
    </xf>
    <xf borderId="28" fillId="5" fontId="10" numFmtId="0" xfId="0" applyAlignment="1" applyBorder="1" applyFont="1">
      <alignment horizontal="center" shrinkToFit="0" vertical="center" wrapText="1"/>
    </xf>
    <xf borderId="47" fillId="0" fontId="10" numFmtId="0" xfId="0" applyAlignment="1" applyBorder="1" applyFont="1">
      <alignment horizontal="center" vertical="center"/>
    </xf>
    <xf borderId="48" fillId="0" fontId="10" numFmtId="0" xfId="0" applyAlignment="1" applyBorder="1" applyFont="1">
      <alignment horizontal="center" vertical="center"/>
    </xf>
    <xf borderId="49" fillId="0" fontId="7" numFmtId="0" xfId="0" applyAlignment="1" applyBorder="1" applyFont="1">
      <alignment horizontal="left" shrinkToFit="0" vertical="center" wrapText="1"/>
    </xf>
    <xf borderId="50" fillId="0" fontId="2" numFmtId="0" xfId="0" applyBorder="1" applyFont="1"/>
    <xf borderId="51" fillId="0" fontId="2" numFmtId="0" xfId="0" applyBorder="1" applyFont="1"/>
    <xf borderId="49" fillId="0" fontId="8" numFmtId="0" xfId="0" applyAlignment="1" applyBorder="1" applyFont="1">
      <alignment horizontal="center" vertical="center"/>
    </xf>
    <xf borderId="52" fillId="0" fontId="8" numFmtId="10" xfId="0" applyAlignment="1" applyBorder="1" applyFont="1" applyNumberFormat="1">
      <alignment horizontal="right" vertical="center"/>
    </xf>
    <xf borderId="53" fillId="0" fontId="2" numFmtId="0" xfId="0" applyBorder="1" applyFont="1"/>
    <xf borderId="54" fillId="5" fontId="10" numFmtId="0" xfId="0" applyAlignment="1" applyBorder="1" applyFont="1">
      <alignment horizontal="center" shrinkToFit="0" vertical="center" wrapText="1"/>
    </xf>
    <xf borderId="9" fillId="0" fontId="8" numFmtId="10" xfId="0" applyAlignment="1" applyBorder="1" applyFont="1" applyNumberFormat="1">
      <alignment horizontal="right"/>
    </xf>
    <xf borderId="10" fillId="0" fontId="8" numFmtId="0" xfId="0" applyAlignment="1" applyBorder="1" applyFont="1">
      <alignment horizontal="right"/>
    </xf>
    <xf borderId="55" fillId="5" fontId="10" numFmtId="0" xfId="0" applyAlignment="1" applyBorder="1" applyFont="1">
      <alignment horizontal="center" shrinkToFit="0" vertical="center" wrapText="1"/>
    </xf>
    <xf borderId="56" fillId="0" fontId="7" numFmtId="0" xfId="0" applyAlignment="1" applyBorder="1" applyFont="1">
      <alignment horizontal="left" shrinkToFit="0" vertical="center" wrapText="1"/>
    </xf>
    <xf borderId="57" fillId="0" fontId="2" numFmtId="0" xfId="0" applyBorder="1" applyFont="1"/>
    <xf borderId="58" fillId="0" fontId="2" numFmtId="0" xfId="0" applyBorder="1" applyFont="1"/>
    <xf borderId="59" fillId="5" fontId="10" numFmtId="0" xfId="0" applyAlignment="1" applyBorder="1" applyFont="1">
      <alignment horizontal="center" shrinkToFit="0" vertical="center" wrapText="1"/>
    </xf>
    <xf borderId="56" fillId="0" fontId="8" numFmtId="0" xfId="0" applyAlignment="1" applyBorder="1" applyFont="1">
      <alignment horizontal="center" vertical="center"/>
    </xf>
    <xf borderId="10" fillId="0" fontId="8" numFmtId="4" xfId="0" applyBorder="1" applyFont="1" applyNumberFormat="1"/>
    <xf borderId="0" fillId="0" fontId="11" numFmtId="4" xfId="0" applyFont="1" applyNumberFormat="1"/>
    <xf borderId="31" fillId="0" fontId="7" numFmtId="0" xfId="0" applyAlignment="1" applyBorder="1" applyFont="1">
      <alignment horizontal="left" shrinkToFit="0" vertical="center" wrapText="1"/>
    </xf>
    <xf borderId="60" fillId="0" fontId="2" numFmtId="0" xfId="0" applyBorder="1" applyFont="1"/>
    <xf borderId="61" fillId="0" fontId="10" numFmtId="0" xfId="0" applyAlignment="1" applyBorder="1" applyFont="1">
      <alignment horizontal="center" vertical="center"/>
    </xf>
    <xf borderId="62" fillId="0" fontId="10" numFmtId="0" xfId="0" applyAlignment="1" applyBorder="1" applyFont="1">
      <alignment horizontal="center" vertical="center"/>
    </xf>
    <xf borderId="18" fillId="4" fontId="5" numFmtId="0" xfId="0" applyAlignment="1" applyBorder="1" applyFont="1">
      <alignment horizontal="right" shrinkToFit="0" vertical="center" wrapText="1"/>
    </xf>
    <xf borderId="14" fillId="4" fontId="5" numFmtId="10" xfId="0" applyAlignment="1" applyBorder="1" applyFont="1" applyNumberFormat="1">
      <alignment horizontal="center" shrinkToFit="0" vertical="center" wrapText="1"/>
    </xf>
    <xf borderId="21" fillId="4" fontId="5" numFmtId="10" xfId="0" applyAlignment="1" applyBorder="1" applyFont="1" applyNumberFormat="1">
      <alignment horizontal="center" shrinkToFit="0" vertical="center" wrapText="1"/>
    </xf>
    <xf borderId="11" fillId="0" fontId="5" numFmtId="10" xfId="0" applyAlignment="1" applyBorder="1" applyFont="1" applyNumberFormat="1">
      <alignment horizontal="center" shrinkToFit="0" vertical="center" wrapText="1"/>
    </xf>
    <xf borderId="14" fillId="6" fontId="5" numFmtId="0" xfId="0" applyAlignment="1" applyBorder="1" applyFill="1" applyFont="1">
      <alignment horizontal="left" shrinkToFit="0" vertical="center" wrapText="1"/>
    </xf>
    <xf borderId="14" fillId="0" fontId="10" numFmtId="0" xfId="0" applyAlignment="1" applyBorder="1" applyFont="1">
      <alignment horizontal="center" vertical="center"/>
    </xf>
    <xf borderId="0" fillId="0" fontId="7" numFmtId="0" xfId="0" applyFont="1"/>
    <xf borderId="14" fillId="0" fontId="7" numFmtId="0" xfId="0" applyAlignment="1" applyBorder="1" applyFont="1">
      <alignment horizontal="center" vertical="center"/>
    </xf>
    <xf borderId="14" fillId="3" fontId="7" numFmtId="164" xfId="0" applyAlignment="1" applyBorder="1" applyFont="1" applyNumberFormat="1">
      <alignment horizontal="center" shrinkToFit="0" vertical="center" wrapText="1"/>
    </xf>
    <xf borderId="63" fillId="3" fontId="5" numFmtId="0" xfId="0" applyAlignment="1" applyBorder="1" applyFont="1">
      <alignment horizontal="left" shrinkToFit="0" vertical="center" wrapText="1"/>
    </xf>
    <xf borderId="0" fillId="0" fontId="7" numFmtId="0" xfId="0" applyAlignment="1" applyFont="1">
      <alignment horizontal="center"/>
    </xf>
    <xf borderId="0" fillId="0" fontId="4" numFmtId="0" xfId="0" applyAlignment="1" applyFont="1">
      <alignment horizontal="center"/>
    </xf>
    <xf borderId="18" fillId="7" fontId="5" numFmtId="0" xfId="0" applyAlignment="1" applyBorder="1" applyFill="1" applyFont="1">
      <alignment horizontal="left" shrinkToFit="0" vertical="center" wrapText="1"/>
    </xf>
    <xf borderId="11" fillId="0" fontId="7" numFmtId="0" xfId="0" applyAlignment="1" applyBorder="1" applyFont="1">
      <alignment horizontal="left" shrinkToFit="0" vertical="top" wrapText="1"/>
    </xf>
    <xf borderId="7" fillId="0" fontId="7" numFmtId="0" xfId="0" applyAlignment="1" applyBorder="1" applyFont="1">
      <alignment horizontal="left" shrinkToFit="0" vertical="top" wrapText="1"/>
    </xf>
    <xf borderId="12" fillId="0" fontId="7" numFmtId="0" xfId="0" applyAlignment="1" applyBorder="1" applyFont="1">
      <alignment horizontal="left" shrinkToFit="0" vertical="top" wrapText="1"/>
    </xf>
    <xf borderId="64" fillId="0" fontId="2" numFmtId="0" xfId="0" applyBorder="1" applyFont="1"/>
    <xf borderId="65" fillId="3" fontId="5" numFmtId="0" xfId="0" applyAlignment="1" applyBorder="1" applyFont="1">
      <alignment horizontal="center" shrinkToFit="0" vertical="center" wrapText="1"/>
    </xf>
    <xf borderId="23" fillId="4" fontId="5" numFmtId="0" xfId="0" applyAlignment="1" applyBorder="1" applyFont="1">
      <alignment horizontal="left" shrinkToFit="0" vertical="center" wrapText="1"/>
    </xf>
    <xf borderId="0" fillId="0" fontId="11" numFmtId="0" xfId="0" applyFont="1"/>
    <xf borderId="9" fillId="0" fontId="7" numFmtId="0" xfId="0" applyAlignment="1" applyBorder="1" applyFont="1">
      <alignment horizontal="left" shrinkToFit="0" vertical="center" wrapText="1"/>
    </xf>
    <xf borderId="66" fillId="8" fontId="5" numFmtId="0" xfId="0" applyAlignment="1" applyBorder="1" applyFill="1" applyFont="1">
      <alignment horizontal="center" shrinkToFit="0" vertical="center" wrapText="1"/>
    </xf>
    <xf borderId="0" fillId="0" fontId="6" numFmtId="0" xfId="0" applyAlignment="1" applyFont="1">
      <alignment vertical="center"/>
    </xf>
    <xf borderId="41" fillId="0" fontId="7" numFmtId="0" xfId="0" applyAlignment="1" applyBorder="1" applyFont="1">
      <alignment shrinkToFit="0" vertical="center" wrapText="1"/>
    </xf>
    <xf borderId="67" fillId="0" fontId="2" numFmtId="0" xfId="0" applyBorder="1" applyFont="1"/>
    <xf borderId="0" fillId="0" fontId="7" numFmtId="0" xfId="0" applyAlignment="1" applyFont="1">
      <alignment vertical="center"/>
    </xf>
    <xf borderId="48" fillId="0" fontId="7" numFmtId="0" xfId="0" applyAlignment="1" applyBorder="1" applyFont="1">
      <alignment shrinkToFit="0" vertical="center" wrapText="1"/>
    </xf>
    <xf borderId="68" fillId="0" fontId="2" numFmtId="0" xfId="0" applyBorder="1" applyFont="1"/>
    <xf borderId="36" fillId="0" fontId="7" numFmtId="0" xfId="0" applyAlignment="1" applyBorder="1" applyFont="1">
      <alignment shrinkToFit="0" vertical="center" wrapText="1"/>
    </xf>
    <xf borderId="69" fillId="0" fontId="2" numFmtId="0" xfId="0" applyBorder="1" applyFont="1"/>
    <xf borderId="9" fillId="0" fontId="7" numFmtId="0" xfId="0" applyAlignment="1" applyBorder="1" applyFont="1">
      <alignment shrinkToFit="0" vertical="center" wrapText="1"/>
    </xf>
    <xf borderId="57" fillId="0" fontId="7" numFmtId="0" xfId="0" applyAlignment="1" applyBorder="1" applyFont="1">
      <alignment shrinkToFit="0" vertical="center" wrapText="1"/>
    </xf>
    <xf borderId="70" fillId="8" fontId="5" numFmtId="0" xfId="0" applyAlignment="1" applyBorder="1" applyFont="1">
      <alignment horizontal="center" shrinkToFit="0" vertical="center" wrapText="1"/>
    </xf>
    <xf borderId="0" fillId="0" fontId="7" numFmtId="4" xfId="0" applyAlignment="1" applyFont="1" applyNumberFormat="1">
      <alignment vertical="center"/>
    </xf>
    <xf borderId="17" fillId="3" fontId="7" numFmtId="164" xfId="0" applyAlignment="1" applyBorder="1" applyFont="1" applyNumberFormat="1">
      <alignment horizontal="center" shrinkToFit="0" vertical="center" wrapText="1"/>
    </xf>
    <xf borderId="3" fillId="3" fontId="7" numFmtId="0" xfId="0" applyAlignment="1" applyBorder="1" applyFont="1">
      <alignment horizontal="left" shrinkToFit="0" vertical="center" wrapText="1"/>
    </xf>
    <xf borderId="71" fillId="9" fontId="7" numFmtId="0" xfId="0" applyAlignment="1" applyBorder="1" applyFill="1" applyFont="1">
      <alignment horizontal="left" shrinkToFit="0" vertical="top" wrapText="1"/>
    </xf>
    <xf borderId="72" fillId="0" fontId="2" numFmtId="0" xfId="0" applyBorder="1" applyFont="1"/>
    <xf borderId="73" fillId="0" fontId="2" numFmtId="0" xfId="0" applyBorder="1" applyFont="1"/>
    <xf borderId="0" fillId="0" fontId="11" numFmtId="4" xfId="0" applyAlignment="1" applyFont="1" applyNumberFormat="1">
      <alignment vertical="center"/>
    </xf>
    <xf borderId="63" fillId="3" fontId="5" numFmtId="0" xfId="0" applyAlignment="1" applyBorder="1" applyFont="1">
      <alignment horizontal="center" vertical="top"/>
    </xf>
    <xf borderId="63" fillId="3" fontId="5" numFmtId="0" xfId="0" applyAlignment="1" applyBorder="1" applyFont="1">
      <alignment horizontal="center" shrinkToFit="0" vertical="center" wrapText="1"/>
    </xf>
    <xf borderId="74" fillId="3" fontId="5" numFmtId="0" xfId="0" applyAlignment="1" applyBorder="1" applyFont="1">
      <alignment horizontal="center" shrinkToFit="0" wrapText="1"/>
    </xf>
    <xf borderId="17" fillId="3" fontId="5" numFmtId="0" xfId="0" applyAlignment="1" applyBorder="1" applyFont="1">
      <alignment horizontal="center" shrinkToFit="0" wrapText="1"/>
    </xf>
    <xf borderId="14" fillId="3" fontId="5" numFmtId="0" xfId="0" applyAlignment="1" applyBorder="1" applyFont="1">
      <alignment horizontal="center"/>
    </xf>
    <xf borderId="74" fillId="3" fontId="7" numFmtId="0" xfId="0" applyAlignment="1" applyBorder="1" applyFont="1">
      <alignment horizontal="center" shrinkToFit="0" wrapText="1"/>
    </xf>
    <xf borderId="75" fillId="3" fontId="7" numFmtId="0" xfId="0" applyAlignment="1" applyBorder="1" applyFont="1">
      <alignment horizontal="center" shrinkToFit="0" wrapText="1"/>
    </xf>
    <xf borderId="63" fillId="3" fontId="5" numFmtId="0" xfId="0" applyAlignment="1" applyBorder="1" applyFont="1">
      <alignment horizontal="center" shrinkToFit="0" wrapText="1"/>
    </xf>
    <xf borderId="74" fillId="5" fontId="7" numFmtId="0" xfId="0" applyAlignment="1" applyBorder="1" applyFont="1">
      <alignment horizontal="center" shrinkToFit="0" wrapText="1"/>
    </xf>
    <xf borderId="17" fillId="5" fontId="7" numFmtId="0" xfId="0" applyAlignment="1" applyBorder="1" applyFont="1">
      <alignment horizontal="center" shrinkToFit="0" wrapText="1"/>
    </xf>
    <xf borderId="76" fillId="4" fontId="5" numFmtId="0" xfId="0" applyAlignment="1" applyBorder="1" applyFont="1">
      <alignment horizontal="left" shrinkToFit="0" vertical="center" wrapText="1"/>
    </xf>
    <xf borderId="17" fillId="4" fontId="5" numFmtId="0" xfId="0" applyAlignment="1" applyBorder="1" applyFont="1">
      <alignment horizontal="center" shrinkToFit="0" vertical="center" wrapText="1"/>
    </xf>
    <xf borderId="65" fillId="4" fontId="5" numFmtId="0" xfId="0" applyAlignment="1" applyBorder="1" applyFont="1">
      <alignment horizontal="center" shrinkToFit="0" vertical="center" wrapText="1"/>
    </xf>
    <xf borderId="77" fillId="4" fontId="5" numFmtId="0" xfId="0" applyAlignment="1" applyBorder="1" applyFont="1">
      <alignment horizontal="center" shrinkToFit="0" vertical="center" wrapText="1"/>
    </xf>
    <xf borderId="78" fillId="4" fontId="5" numFmtId="0" xfId="0" applyAlignment="1" applyBorder="1" applyFont="1">
      <alignment horizontal="center" shrinkToFit="0" vertical="center" wrapText="1"/>
    </xf>
    <xf borderId="79" fillId="3" fontId="7" numFmtId="0" xfId="0" applyAlignment="1" applyBorder="1" applyFont="1">
      <alignment horizontal="left" shrinkToFit="0" vertical="center" wrapText="1"/>
    </xf>
    <xf borderId="80" fillId="5" fontId="6" numFmtId="0" xfId="0" applyAlignment="1" applyBorder="1" applyFont="1">
      <alignment horizontal="center"/>
    </xf>
    <xf borderId="37" fillId="10" fontId="8" numFmtId="0" xfId="0" applyAlignment="1" applyBorder="1" applyFill="1" applyFont="1">
      <alignment horizontal="center" shrinkToFit="0" vertical="center" wrapText="1"/>
    </xf>
    <xf borderId="28" fillId="10" fontId="8" numFmtId="0" xfId="0" applyAlignment="1" applyBorder="1" applyFont="1">
      <alignment horizontal="center" shrinkToFit="0" vertical="center" wrapText="1"/>
    </xf>
    <xf borderId="81" fillId="10" fontId="8" numFmtId="0" xfId="0" applyAlignment="1" applyBorder="1" applyFont="1">
      <alignment horizontal="center" shrinkToFit="0" vertical="center" wrapText="1"/>
    </xf>
    <xf borderId="66" fillId="0" fontId="10" numFmtId="0" xfId="0" applyAlignment="1" applyBorder="1" applyFont="1">
      <alignment horizontal="center" shrinkToFit="0" vertical="center" wrapText="1"/>
    </xf>
    <xf borderId="32" fillId="0" fontId="8" numFmtId="0" xfId="0" applyAlignment="1" applyBorder="1" applyFont="1">
      <alignment horizontal="center" vertical="center"/>
    </xf>
    <xf borderId="76" fillId="3" fontId="7" numFmtId="0" xfId="0" applyAlignment="1" applyBorder="1" applyFont="1">
      <alignment horizontal="left" shrinkToFit="0" vertical="center" wrapText="1"/>
    </xf>
    <xf borderId="82" fillId="5" fontId="6" numFmtId="0" xfId="0" applyAlignment="1" applyBorder="1" applyFont="1">
      <alignment horizontal="center" vertical="center"/>
    </xf>
    <xf borderId="44" fillId="10" fontId="8" numFmtId="0" xfId="0" applyAlignment="1" applyBorder="1" applyFont="1">
      <alignment horizontal="center" shrinkToFit="0" vertical="center" wrapText="1"/>
    </xf>
    <xf borderId="83" fillId="10" fontId="8" numFmtId="0" xfId="0" applyAlignment="1" applyBorder="1" applyFont="1">
      <alignment horizontal="center" shrinkToFit="0" vertical="center" wrapText="1"/>
    </xf>
    <xf borderId="84" fillId="10" fontId="8" numFmtId="0" xfId="0" applyAlignment="1" applyBorder="1" applyFont="1">
      <alignment horizontal="center" shrinkToFit="0" vertical="center" wrapText="1"/>
    </xf>
    <xf borderId="85" fillId="0" fontId="10" numFmtId="0" xfId="0" applyAlignment="1" applyBorder="1" applyFont="1">
      <alignment horizontal="center" shrinkToFit="0" vertical="center" wrapText="1"/>
    </xf>
    <xf borderId="43" fillId="0" fontId="8" numFmtId="0" xfId="0" applyAlignment="1" applyBorder="1" applyFont="1">
      <alignment horizontal="center" vertical="center"/>
    </xf>
    <xf borderId="0" fillId="0" fontId="12" numFmtId="0" xfId="0" applyFont="1"/>
    <xf borderId="80" fillId="3" fontId="7" numFmtId="0" xfId="0" applyAlignment="1" applyBorder="1" applyFont="1">
      <alignment horizontal="left" shrinkToFit="0" vertical="center" wrapText="1"/>
    </xf>
    <xf borderId="82" fillId="5" fontId="6" numFmtId="0" xfId="0" applyAlignment="1" applyBorder="1" applyFont="1">
      <alignment horizontal="center"/>
    </xf>
    <xf borderId="31" fillId="0" fontId="10" numFmtId="0" xfId="0" applyAlignment="1" applyBorder="1" applyFont="1">
      <alignment horizontal="center" shrinkToFit="0" vertical="center" wrapText="1"/>
    </xf>
    <xf borderId="66" fillId="0" fontId="8" numFmtId="0" xfId="0" applyAlignment="1" applyBorder="1" applyFont="1">
      <alignment horizontal="center" vertical="center"/>
    </xf>
    <xf borderId="86" fillId="3" fontId="7" numFmtId="0" xfId="0" applyAlignment="1" applyBorder="1" applyFont="1">
      <alignment horizontal="left" shrinkToFit="0" vertical="center" wrapText="1"/>
    </xf>
    <xf borderId="76" fillId="5" fontId="6" numFmtId="0" xfId="0" applyAlignment="1" applyBorder="1" applyFont="1">
      <alignment horizontal="center"/>
    </xf>
    <xf borderId="52" fillId="10" fontId="8" numFmtId="0" xfId="0" applyAlignment="1" applyBorder="1" applyFont="1">
      <alignment horizontal="center" shrinkToFit="0" vertical="center" wrapText="1"/>
    </xf>
    <xf borderId="35" fillId="10" fontId="8" numFmtId="0" xfId="0" applyAlignment="1" applyBorder="1" applyFont="1">
      <alignment horizontal="center" shrinkToFit="0" vertical="center" wrapText="1"/>
    </xf>
    <xf borderId="62" fillId="10" fontId="8" numFmtId="0" xfId="0" applyAlignment="1" applyBorder="1" applyFont="1">
      <alignment horizontal="center" shrinkToFit="0" vertical="center" wrapText="1"/>
    </xf>
    <xf borderId="87" fillId="0" fontId="10" numFmtId="0" xfId="0" applyAlignment="1" applyBorder="1" applyFont="1">
      <alignment horizontal="center" shrinkToFit="0" vertical="center" wrapText="1"/>
    </xf>
    <xf borderId="87" fillId="0" fontId="8" numFmtId="0" xfId="0" applyAlignment="1" applyBorder="1" applyFont="1">
      <alignment horizontal="center" vertical="center"/>
    </xf>
    <xf borderId="86" fillId="5" fontId="6" numFmtId="0" xfId="0" applyAlignment="1" applyBorder="1" applyFont="1">
      <alignment horizontal="center"/>
    </xf>
    <xf borderId="82" fillId="3" fontId="7" numFmtId="0" xfId="0" applyAlignment="1" applyBorder="1" applyFont="1">
      <alignment horizontal="left" shrinkToFit="0" vertical="center" wrapText="1"/>
    </xf>
    <xf borderId="85" fillId="0" fontId="8" numFmtId="0" xfId="0" applyAlignment="1" applyBorder="1" applyFont="1">
      <alignment horizontal="center" vertical="center"/>
    </xf>
    <xf borderId="9" fillId="0" fontId="8" numFmtId="0" xfId="0" applyAlignment="1" applyBorder="1" applyFont="1">
      <alignment horizontal="center" vertical="center"/>
    </xf>
    <xf borderId="88" fillId="10" fontId="8" numFmtId="0" xfId="0" applyAlignment="1" applyBorder="1" applyFont="1">
      <alignment horizontal="center" shrinkToFit="0" vertical="center" wrapText="1"/>
    </xf>
    <xf borderId="89" fillId="10" fontId="8" numFmtId="0" xfId="0" applyAlignment="1" applyBorder="1" applyFont="1">
      <alignment horizontal="center" shrinkToFit="0" vertical="center" wrapText="1"/>
    </xf>
    <xf borderId="75" fillId="10" fontId="8" numFmtId="0" xfId="0" applyAlignment="1" applyBorder="1" applyFont="1">
      <alignment horizontal="center" shrinkToFit="0" vertical="center" wrapText="1"/>
    </xf>
    <xf borderId="74" fillId="3" fontId="7" numFmtId="164" xfId="0" applyAlignment="1" applyBorder="1" applyFont="1" applyNumberFormat="1">
      <alignment horizontal="center" shrinkToFit="0" vertical="center" wrapText="1"/>
    </xf>
    <xf borderId="0" fillId="0" fontId="13" numFmtId="0" xfId="0" applyFont="1"/>
    <xf borderId="63" fillId="3" fontId="5" numFmtId="0" xfId="0" applyAlignment="1" applyBorder="1" applyFont="1">
      <alignment horizontal="right" shrinkToFit="0" vertical="center" wrapText="1"/>
    </xf>
    <xf borderId="21" fillId="6" fontId="5" numFmtId="0" xfId="0" applyAlignment="1" applyBorder="1" applyFont="1">
      <alignment horizontal="left" shrinkToFit="0" vertical="center" wrapText="1"/>
    </xf>
    <xf borderId="90" fillId="3" fontId="7" numFmtId="0" xfId="0" applyAlignment="1" applyBorder="1" applyFont="1">
      <alignment horizontal="left" shrinkToFit="0" vertical="top" wrapText="1"/>
    </xf>
    <xf borderId="63" fillId="3" fontId="7" numFmtId="164" xfId="0" applyAlignment="1" applyBorder="1" applyFont="1" applyNumberFormat="1">
      <alignment horizontal="center" shrinkToFit="0" vertical="center" wrapText="1"/>
    </xf>
    <xf borderId="0" fillId="0" fontId="5" numFmtId="0" xfId="0" applyAlignment="1" applyFont="1">
      <alignment horizontal="right" vertical="center"/>
    </xf>
    <xf borderId="0" fillId="0" fontId="5" numFmtId="0" xfId="0" applyAlignment="1" applyFont="1">
      <alignment horizontal="center" shrinkToFit="0" wrapText="1"/>
    </xf>
    <xf borderId="0" fillId="0" fontId="5" numFmtId="0" xfId="0" applyAlignment="1" applyFont="1">
      <alignment horizontal="center"/>
    </xf>
    <xf borderId="6" fillId="0" fontId="5" numFmtId="0" xfId="0" applyAlignment="1" applyBorder="1" applyFont="1">
      <alignment horizontal="right" vertical="center"/>
    </xf>
    <xf borderId="7" fillId="0" fontId="7" numFmtId="10" xfId="0" applyAlignment="1" applyBorder="1" applyFont="1" applyNumberFormat="1">
      <alignment horizontal="right"/>
    </xf>
    <xf borderId="7" fillId="0" fontId="7" numFmtId="0" xfId="0" applyBorder="1" applyFont="1"/>
    <xf borderId="8" fillId="0" fontId="7" numFmtId="0" xfId="0" applyAlignment="1" applyBorder="1" applyFont="1">
      <alignment horizontal="center"/>
    </xf>
    <xf borderId="6" fillId="0" fontId="7" numFmtId="0" xfId="0" applyAlignment="1" applyBorder="1" applyFont="1">
      <alignment horizontal="center" shrinkToFit="0" vertical="top" wrapText="1"/>
    </xf>
    <xf borderId="9" fillId="0" fontId="5" numFmtId="0" xfId="0" applyAlignment="1" applyBorder="1" applyFont="1">
      <alignment horizontal="right" vertical="center"/>
    </xf>
    <xf borderId="0" fillId="0" fontId="7" numFmtId="10" xfId="0" applyAlignment="1" applyFont="1" applyNumberFormat="1">
      <alignment horizontal="right"/>
    </xf>
    <xf borderId="0" fillId="0" fontId="14" numFmtId="0" xfId="0" applyFont="1"/>
    <xf borderId="10" fillId="0" fontId="7" numFmtId="0" xfId="0" applyAlignment="1" applyBorder="1" applyFont="1">
      <alignment horizontal="center"/>
    </xf>
    <xf borderId="9" fillId="0" fontId="7" numFmtId="0" xfId="0" applyAlignment="1" applyBorder="1" applyFont="1">
      <alignment horizontal="center" shrinkToFit="0" vertical="top" wrapText="1"/>
    </xf>
    <xf borderId="42" fillId="6" fontId="5" numFmtId="0" xfId="0" applyAlignment="1" applyBorder="1" applyFont="1">
      <alignment horizontal="right" vertical="center"/>
    </xf>
    <xf borderId="91" fillId="0" fontId="2" numFmtId="0" xfId="0" applyBorder="1" applyFont="1"/>
    <xf borderId="92" fillId="6" fontId="7" numFmtId="0" xfId="0" applyAlignment="1" applyBorder="1" applyFont="1">
      <alignment horizontal="right"/>
    </xf>
    <xf borderId="92" fillId="6" fontId="7" numFmtId="0" xfId="0" applyBorder="1" applyFont="1"/>
    <xf borderId="93" fillId="6" fontId="7" numFmtId="0" xfId="0" applyAlignment="1" applyBorder="1" applyFont="1">
      <alignment horizontal="center"/>
    </xf>
    <xf borderId="11" fillId="0" fontId="7" numFmtId="0" xfId="0" applyAlignment="1" applyBorder="1" applyFont="1">
      <alignment horizontal="center" shrinkToFit="0" vertical="top" wrapText="1"/>
    </xf>
    <xf borderId="63" fillId="3" fontId="1" numFmtId="0" xfId="0" applyAlignment="1" applyBorder="1" applyFont="1">
      <alignment horizontal="center" shrinkToFit="0" vertical="center" wrapText="1"/>
    </xf>
    <xf borderId="6" fillId="0" fontId="9" numFmtId="0" xfId="0" applyAlignment="1" applyBorder="1" applyFont="1">
      <alignment horizontal="center"/>
    </xf>
    <xf borderId="7" fillId="0" fontId="9" numFmtId="0" xfId="0" applyAlignment="1" applyBorder="1" applyFont="1">
      <alignment horizontal="center"/>
    </xf>
    <xf borderId="11" fillId="0" fontId="4" numFmtId="0" xfId="0" applyAlignment="1" applyBorder="1" applyFont="1">
      <alignment horizontal="center"/>
    </xf>
    <xf borderId="13" fillId="0" fontId="4" numFmtId="0" xfId="0" applyAlignment="1" applyBorder="1" applyFont="1">
      <alignment horizontal="center"/>
    </xf>
    <xf borderId="12" fillId="0" fontId="4" numFmtId="0" xfId="0" applyAlignment="1" applyBorder="1" applyFont="1">
      <alignment horizontal="center"/>
    </xf>
    <xf borderId="18" fillId="3" fontId="5" numFmtId="0" xfId="0" applyAlignment="1" applyBorder="1" applyFont="1">
      <alignment horizontal="center" vertical="top"/>
    </xf>
    <xf borderId="94" fillId="3" fontId="5" numFmtId="0" xfId="0" applyAlignment="1" applyBorder="1" applyFont="1">
      <alignment horizontal="center" vertical="top"/>
    </xf>
    <xf borderId="81" fillId="0" fontId="8" numFmtId="0" xfId="0" applyAlignment="1" applyBorder="1" applyFont="1">
      <alignment horizontal="center" vertical="center"/>
    </xf>
    <xf borderId="18" fillId="4" fontId="5" numFmtId="0" xfId="0" applyAlignment="1" applyBorder="1" applyFont="1">
      <alignment horizontal="left" shrinkToFit="0" vertical="center" wrapText="1"/>
    </xf>
    <xf borderId="95" fillId="4" fontId="5" numFmtId="0" xfId="0" applyAlignment="1" applyBorder="1" applyFont="1">
      <alignment horizontal="left" shrinkToFit="0" vertical="center" wrapText="1"/>
    </xf>
    <xf borderId="96" fillId="0" fontId="2" numFmtId="0" xfId="0" applyBorder="1" applyFont="1"/>
    <xf borderId="42" fillId="0" fontId="7" numFmtId="0" xfId="0" applyAlignment="1" applyBorder="1" applyFont="1">
      <alignment horizontal="left" shrinkToFit="0" vertical="center" wrapText="1"/>
    </xf>
    <xf borderId="97" fillId="0" fontId="2" numFmtId="0" xfId="0" applyBorder="1" applyFont="1"/>
    <xf borderId="84" fillId="0" fontId="8" numFmtId="0" xfId="0" applyAlignment="1" applyBorder="1" applyFont="1">
      <alignment horizontal="center" vertical="center"/>
    </xf>
    <xf borderId="98" fillId="4" fontId="5" numFmtId="0" xfId="0" applyAlignment="1" applyBorder="1" applyFont="1">
      <alignment horizontal="left" shrinkToFit="0" vertical="center" wrapText="1"/>
    </xf>
    <xf borderId="99" fillId="0" fontId="2" numFmtId="0" xfId="0" applyBorder="1" applyFont="1"/>
    <xf borderId="62" fillId="0" fontId="8" numFmtId="0" xfId="0" applyAlignment="1" applyBorder="1" applyFont="1">
      <alignment horizontal="center" vertical="center"/>
    </xf>
    <xf borderId="49" fillId="0" fontId="7" numFmtId="0" xfId="0" applyAlignment="1" applyBorder="1" applyFont="1">
      <alignment shrinkToFit="0" vertical="center" wrapText="1"/>
    </xf>
    <xf borderId="42" fillId="0" fontId="7" numFmtId="0" xfId="0" applyAlignment="1" applyBorder="1" applyFont="1">
      <alignment shrinkToFit="0" vertical="center" wrapText="1"/>
    </xf>
    <xf borderId="71" fillId="4" fontId="5" numFmtId="0" xfId="0" applyAlignment="1" applyBorder="1" applyFont="1">
      <alignment horizontal="left" shrinkToFit="0" vertical="center" wrapText="1"/>
    </xf>
    <xf borderId="71" fillId="6" fontId="5" numFmtId="0" xfId="0" applyAlignment="1" applyBorder="1" applyFont="1">
      <alignment horizontal="left" shrinkToFit="0" vertical="center" wrapText="1"/>
    </xf>
    <xf borderId="45" fillId="0" fontId="10" numFmtId="0" xfId="0" applyAlignment="1" applyBorder="1" applyFont="1">
      <alignment horizontal="center" shrinkToFit="0" vertical="center" wrapText="1"/>
    </xf>
    <xf borderId="77" fillId="4" fontId="5" numFmtId="0" xfId="0" applyAlignment="1" applyBorder="1" applyFont="1">
      <alignment horizontal="left" shrinkToFit="0" vertical="center" wrapText="1"/>
    </xf>
    <xf borderId="31" fillId="0" fontId="7" numFmtId="0" xfId="0" applyAlignment="1" applyBorder="1" applyFont="1">
      <alignment shrinkToFit="0" vertical="center" wrapText="1"/>
    </xf>
    <xf borderId="56" fillId="0" fontId="7" numFmtId="0" xfId="0" applyAlignment="1" applyBorder="1" applyFont="1">
      <alignment shrinkToFit="0" vertical="center" wrapText="1"/>
    </xf>
    <xf borderId="100" fillId="0" fontId="8" numFmtId="0" xfId="0" applyAlignment="1" applyBorder="1" applyFont="1">
      <alignment horizontal="center" vertical="center"/>
    </xf>
    <xf borderId="101" fillId="0" fontId="2" numFmtId="0" xfId="0" applyBorder="1" applyFont="1"/>
    <xf borderId="34" fillId="0" fontId="10" numFmtId="0" xfId="0" applyAlignment="1" applyBorder="1" applyFont="1">
      <alignment horizontal="center" shrinkToFit="0" vertical="center" wrapText="1"/>
    </xf>
    <xf borderId="34" fillId="3" fontId="5" numFmtId="0" xfId="0" applyAlignment="1" applyBorder="1" applyFont="1">
      <alignment horizontal="center" vertical="top"/>
    </xf>
    <xf borderId="24" fillId="0" fontId="7" numFmtId="0" xfId="0" applyAlignment="1" applyBorder="1" applyFont="1">
      <alignment horizontal="left" shrinkToFit="0" vertical="center" wrapText="1"/>
    </xf>
    <xf borderId="68" fillId="0" fontId="5" numFmtId="10" xfId="0" applyAlignment="1" applyBorder="1" applyFont="1" applyNumberFormat="1">
      <alignment horizontal="left" shrinkToFit="0" vertical="center" wrapText="1"/>
    </xf>
    <xf borderId="26" fillId="0" fontId="8" numFmtId="0" xfId="0" applyAlignment="1" applyBorder="1" applyFont="1">
      <alignment horizontal="center" vertical="center"/>
    </xf>
    <xf borderId="102" fillId="0" fontId="5" numFmtId="10" xfId="0" applyAlignment="1" applyBorder="1" applyFont="1" applyNumberFormat="1">
      <alignment horizontal="left" shrinkToFit="0" vertical="center" wrapText="1"/>
    </xf>
    <xf borderId="18" fillId="3" fontId="5" numFmtId="0" xfId="0" applyAlignment="1" applyBorder="1" applyFont="1">
      <alignment horizontal="left" shrinkToFit="0" vertical="center" wrapText="1"/>
    </xf>
    <xf borderId="71" fillId="3" fontId="7" numFmtId="0" xfId="0" applyAlignment="1" applyBorder="1" applyFont="1">
      <alignment horizontal="left" shrinkToFit="0" vertical="top" wrapText="1"/>
    </xf>
    <xf borderId="63" fillId="11" fontId="15" numFmtId="0" xfId="0" applyAlignment="1" applyBorder="1" applyFill="1" applyFont="1">
      <alignment shrinkToFit="0" wrapText="1"/>
    </xf>
    <xf borderId="0" fillId="0" fontId="16" numFmtId="0" xfId="0" applyFont="1"/>
    <xf borderId="63" fillId="11" fontId="9" numFmtId="0" xfId="0" applyAlignment="1" applyBorder="1" applyFont="1">
      <alignment horizontal="right" vertical="center"/>
    </xf>
    <xf borderId="63" fillId="11" fontId="6" numFmtId="0" xfId="0" applyAlignment="1" applyBorder="1" applyFont="1">
      <alignment shrinkToFit="0" wrapText="1"/>
    </xf>
    <xf borderId="63" fillId="12" fontId="9" numFmtId="0" xfId="0" applyAlignment="1" applyBorder="1" applyFill="1" applyFont="1">
      <alignment horizontal="right" vertical="center"/>
    </xf>
    <xf borderId="63" fillId="12" fontId="6" numFmtId="0" xfId="0" applyAlignment="1" applyBorder="1" applyFont="1">
      <alignment shrinkToFit="0" wrapText="1"/>
    </xf>
    <xf borderId="63" fillId="11" fontId="9" numFmtId="0" xfId="0" applyAlignment="1" applyBorder="1" applyFont="1">
      <alignment horizontal="right" shrinkToFit="0" vertical="center" wrapText="1"/>
    </xf>
    <xf borderId="0" fillId="0" fontId="6" numFmtId="0" xfId="0" applyAlignment="1" applyFont="1">
      <alignment shrinkToFit="0" wrapText="1"/>
    </xf>
    <xf borderId="63" fillId="13" fontId="15" numFmtId="0" xfId="0" applyAlignment="1" applyBorder="1" applyFill="1" applyFont="1">
      <alignment shrinkToFit="0" wrapText="1"/>
    </xf>
    <xf borderId="63" fillId="13" fontId="9" numFmtId="0" xfId="0" applyAlignment="1" applyBorder="1" applyFont="1">
      <alignment horizontal="right" vertical="center"/>
    </xf>
    <xf borderId="63" fillId="13" fontId="6" numFmtId="0" xfId="0" applyAlignment="1" applyBorder="1" applyFont="1">
      <alignment shrinkToFit="0" wrapText="1"/>
    </xf>
    <xf borderId="63" fillId="14" fontId="9" numFmtId="0" xfId="0" applyAlignment="1" applyBorder="1" applyFill="1" applyFont="1">
      <alignment horizontal="right" vertical="center"/>
    </xf>
    <xf borderId="63" fillId="14" fontId="6" numFmtId="0" xfId="0" applyAlignment="1" applyBorder="1" applyFont="1">
      <alignment shrinkToFit="0" wrapText="1"/>
    </xf>
    <xf borderId="63" fillId="14" fontId="6" numFmtId="0" xfId="0" applyAlignment="1" applyBorder="1" applyFont="1">
      <alignment shrinkToFit="0" vertical="top" wrapText="1"/>
    </xf>
    <xf borderId="63" fillId="13" fontId="9" numFmtId="0" xfId="0" applyAlignment="1" applyBorder="1" applyFont="1">
      <alignment horizontal="right" shrinkToFit="0" vertical="center" wrapText="1"/>
    </xf>
    <xf borderId="63" fillId="15" fontId="15" numFmtId="0" xfId="0" applyAlignment="1" applyBorder="1" applyFill="1" applyFont="1">
      <alignment shrinkToFit="0" wrapText="1"/>
    </xf>
    <xf borderId="63" fillId="15" fontId="9" numFmtId="0" xfId="0" applyAlignment="1" applyBorder="1" applyFont="1">
      <alignment horizontal="right" vertical="center"/>
    </xf>
    <xf borderId="63" fillId="15" fontId="6" numFmtId="0" xfId="0" applyAlignment="1" applyBorder="1" applyFont="1">
      <alignment shrinkToFit="0" wrapText="1"/>
    </xf>
    <xf borderId="63" fillId="16" fontId="9" numFmtId="0" xfId="0" applyAlignment="1" applyBorder="1" applyFill="1" applyFont="1">
      <alignment horizontal="right" vertical="center"/>
    </xf>
    <xf borderId="63" fillId="16" fontId="6" numFmtId="0" xfId="0" applyAlignment="1" applyBorder="1" applyFont="1">
      <alignment shrinkToFit="0" wrapText="1"/>
    </xf>
    <xf borderId="63" fillId="15" fontId="9" numFmtId="0" xfId="0" applyAlignment="1" applyBorder="1" applyFont="1">
      <alignment horizontal="right" shrinkToFit="0" vertical="center" wrapText="1"/>
    </xf>
    <xf borderId="63" fillId="15" fontId="6" numFmtId="0" xfId="0" applyAlignment="1" applyBorder="1" applyFont="1">
      <alignment shrinkToFit="0" vertical="top" wrapText="1"/>
    </xf>
    <xf borderId="63" fillId="16" fontId="6" numFmtId="0" xfId="0" applyAlignment="1" applyBorder="1" applyFont="1">
      <alignment shrinkToFit="0" vertical="top" wrapText="1"/>
    </xf>
    <xf borderId="63" fillId="17" fontId="15" numFmtId="0" xfId="0" applyAlignment="1" applyBorder="1" applyFill="1" applyFont="1">
      <alignment shrinkToFit="0" wrapText="1"/>
    </xf>
    <xf borderId="63" fillId="17" fontId="9" numFmtId="0" xfId="0" applyAlignment="1" applyBorder="1" applyFont="1">
      <alignment horizontal="right" vertical="center"/>
    </xf>
    <xf borderId="63" fillId="17" fontId="6" numFmtId="0" xfId="0" applyAlignment="1" applyBorder="1" applyFont="1">
      <alignment shrinkToFit="0" wrapText="1"/>
    </xf>
    <xf borderId="63" fillId="18" fontId="9" numFmtId="0" xfId="0" applyAlignment="1" applyBorder="1" applyFill="1" applyFont="1">
      <alignment horizontal="right" vertical="center"/>
    </xf>
    <xf borderId="63" fillId="18" fontId="6" numFmtId="0" xfId="0" applyAlignment="1" applyBorder="1" applyFont="1">
      <alignment shrinkToFit="0" wrapText="1"/>
    </xf>
    <xf borderId="63" fillId="17" fontId="6" numFmtId="0" xfId="0" applyAlignment="1" applyBorder="1" applyFont="1">
      <alignment shrinkToFit="0" vertical="top" wrapText="1"/>
    </xf>
    <xf borderId="63" fillId="18" fontId="6" numFmtId="0" xfId="0" applyAlignment="1" applyBorder="1" applyFont="1">
      <alignment shrinkToFit="0" vertical="top" wrapText="1"/>
    </xf>
    <xf borderId="63" fillId="19" fontId="15" numFmtId="0" xfId="0" applyAlignment="1" applyBorder="1" applyFill="1" applyFont="1">
      <alignment shrinkToFit="0" wrapText="1"/>
    </xf>
    <xf borderId="63" fillId="19" fontId="9" numFmtId="0" xfId="0" applyAlignment="1" applyBorder="1" applyFont="1">
      <alignment horizontal="right" vertical="center"/>
    </xf>
    <xf borderId="63" fillId="19" fontId="6" numFmtId="0" xfId="0" applyAlignment="1" applyBorder="1" applyFont="1">
      <alignment shrinkToFit="0" wrapText="1"/>
    </xf>
    <xf borderId="63" fillId="20" fontId="9" numFmtId="0" xfId="0" applyAlignment="1" applyBorder="1" applyFill="1" applyFont="1">
      <alignment horizontal="right" vertical="center"/>
    </xf>
    <xf borderId="63" fillId="20" fontId="6" numFmtId="0" xfId="0" applyAlignment="1" applyBorder="1" applyFont="1">
      <alignment shrinkToFit="0" wrapText="1"/>
    </xf>
    <xf borderId="63" fillId="20" fontId="6" numFmtId="0" xfId="0" applyAlignment="1" applyBorder="1" applyFont="1">
      <alignment shrinkToFit="0" vertical="top" wrapText="1"/>
    </xf>
    <xf borderId="63" fillId="19" fontId="6" numFmtId="0" xfId="0" applyAlignment="1" applyBorder="1" applyFont="1">
      <alignment shrinkToFit="0" vertical="top" wrapText="1"/>
    </xf>
    <xf borderId="63" fillId="21" fontId="15" numFmtId="0" xfId="0" applyAlignment="1" applyBorder="1" applyFill="1" applyFont="1">
      <alignment shrinkToFit="0" wrapText="1"/>
    </xf>
    <xf borderId="63" fillId="21" fontId="9" numFmtId="0" xfId="0" applyAlignment="1" applyBorder="1" applyFont="1">
      <alignment horizontal="right" vertical="center"/>
    </xf>
    <xf borderId="63" fillId="21" fontId="6" numFmtId="0" xfId="0" applyAlignment="1" applyBorder="1" applyFont="1">
      <alignment shrinkToFit="0" vertical="top" wrapText="1"/>
    </xf>
    <xf borderId="63" fillId="22" fontId="9" numFmtId="0" xfId="0" applyAlignment="1" applyBorder="1" applyFill="1" applyFont="1">
      <alignment horizontal="right" vertical="center"/>
    </xf>
    <xf borderId="63" fillId="22" fontId="6" numFmtId="0" xfId="0" applyAlignment="1" applyBorder="1" applyFont="1">
      <alignment shrinkToFit="0" vertical="top" wrapText="1"/>
    </xf>
    <xf borderId="63" fillId="21" fontId="6" numFmtId="0" xfId="0" applyAlignment="1" applyBorder="1" applyFont="1">
      <alignment shrinkToFit="0" wrapText="1"/>
    </xf>
    <xf borderId="63" fillId="22" fontId="6" numFmtId="0" xfId="0" applyAlignment="1" applyBorder="1" applyFont="1">
      <alignment shrinkToFit="0" wrapText="1"/>
    </xf>
    <xf borderId="0" fillId="0" fontId="9" numFmtId="0" xfId="0" applyFont="1"/>
    <xf borderId="0" fillId="0" fontId="6" numFmtId="0" xfId="0" applyAlignment="1" applyFont="1">
      <alignment readingOrder="0"/>
    </xf>
  </cellXfs>
  <cellStyles count="1">
    <cellStyle xfId="0" name="Normal" builtinId="0"/>
  </cellStyles>
  <dxfs count="11">
    <dxf>
      <font/>
      <fill>
        <patternFill patternType="solid">
          <fgColor rgb="FF000000"/>
          <bgColor rgb="FF000000"/>
        </patternFill>
      </fill>
      <border/>
    </dxf>
    <dxf>
      <font/>
      <fill>
        <patternFill patternType="solid">
          <fgColor rgb="FFFFFF00"/>
          <bgColor rgb="FFFFFF00"/>
        </patternFill>
      </fill>
      <border/>
    </dxf>
    <dxf>
      <font/>
      <fill>
        <patternFill patternType="solid">
          <fgColor rgb="FFFF696E"/>
          <bgColor rgb="FFFF696E"/>
        </patternFill>
      </fill>
      <border/>
    </dxf>
    <dxf>
      <font/>
      <fill>
        <patternFill patternType="solid">
          <fgColor rgb="FFFFB47F"/>
          <bgColor rgb="FFFFB47F"/>
        </patternFill>
      </fill>
      <border/>
    </dxf>
    <dxf>
      <font/>
      <fill>
        <patternFill patternType="solid">
          <fgColor rgb="FFFFE68B"/>
          <bgColor rgb="FFFFE68B"/>
        </patternFill>
      </fill>
      <border/>
    </dxf>
    <dxf>
      <font/>
      <fill>
        <patternFill patternType="solid">
          <fgColor rgb="FFC4DB87"/>
          <bgColor rgb="FFC4DB87"/>
        </patternFill>
      </fill>
      <border/>
    </dxf>
    <dxf>
      <font/>
      <fill>
        <patternFill patternType="solid">
          <fgColor rgb="FF54BE7E"/>
          <bgColor rgb="FF54BE7E"/>
        </patternFill>
      </fill>
      <border/>
    </dxf>
    <dxf>
      <font/>
      <fill>
        <patternFill patternType="solid">
          <fgColor rgb="FFFFFFFF"/>
          <bgColor rgb="FFFFFFFF"/>
        </patternFill>
      </fill>
      <border/>
    </dxf>
    <dxf>
      <font/>
      <fill>
        <patternFill patternType="solid">
          <fgColor rgb="FFDBE189"/>
          <bgColor rgb="FFDBE189"/>
        </patternFill>
      </fill>
      <border/>
    </dxf>
    <dxf>
      <font/>
      <fill>
        <patternFill patternType="solid">
          <fgColor rgb="FFB7D786"/>
          <bgColor rgb="FFB7D786"/>
        </patternFill>
      </fill>
      <border/>
    </dxf>
    <dxf>
      <font/>
      <fill>
        <patternFill patternType="solid">
          <fgColor rgb="FF91CD83"/>
          <bgColor rgb="FF91CD8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19175" cy="257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4770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15.43"/>
    <col customWidth="1" min="7" max="17" width="9.0"/>
    <col customWidth="1" min="18" max="31" width="8.71"/>
  </cols>
  <sheetData>
    <row r="1" ht="24.75" customHeight="1">
      <c r="A1" s="1"/>
      <c r="B1" s="2"/>
      <c r="C1" s="2"/>
      <c r="D1" s="3" t="s">
        <v>0</v>
      </c>
      <c r="E1" s="4"/>
      <c r="F1" s="4"/>
      <c r="G1" s="4"/>
      <c r="H1" s="4"/>
      <c r="I1" s="4"/>
      <c r="J1" s="4"/>
      <c r="K1" s="4"/>
      <c r="L1" s="4"/>
      <c r="M1" s="4"/>
      <c r="N1" s="4"/>
      <c r="O1" s="4"/>
      <c r="P1" s="4"/>
      <c r="Q1" s="4"/>
      <c r="R1" s="4"/>
      <c r="S1" s="5"/>
      <c r="T1" s="5"/>
      <c r="U1" s="5"/>
      <c r="V1" s="5"/>
      <c r="W1" s="5"/>
      <c r="X1" s="5"/>
      <c r="Y1" s="5"/>
      <c r="Z1" s="5"/>
      <c r="AA1" s="5"/>
      <c r="AB1" s="5"/>
      <c r="AC1" s="5"/>
      <c r="AD1" s="5"/>
      <c r="AE1" s="5"/>
    </row>
    <row r="2" ht="24.75" customHeight="1">
      <c r="A2" s="6"/>
      <c r="D2" s="3" t="str">
        <f>CONCATENATE(Language!C13, D7)</f>
        <v>Trabajo final - Semestre 2025-1</v>
      </c>
      <c r="E2" s="4"/>
      <c r="F2" s="4"/>
      <c r="G2" s="4"/>
      <c r="H2" s="4"/>
      <c r="I2" s="4"/>
      <c r="J2" s="4"/>
      <c r="K2" s="4"/>
      <c r="L2" s="4"/>
      <c r="M2" s="4"/>
      <c r="N2" s="4"/>
      <c r="O2" s="4"/>
      <c r="P2" s="4"/>
      <c r="Q2" s="4"/>
      <c r="R2" s="4"/>
      <c r="S2" s="5"/>
      <c r="T2" s="5"/>
      <c r="U2" s="5"/>
      <c r="V2" s="5"/>
      <c r="W2" s="5"/>
      <c r="X2" s="5"/>
      <c r="Y2" s="5"/>
      <c r="Z2" s="5"/>
      <c r="AA2" s="5"/>
      <c r="AB2" s="5"/>
      <c r="AC2" s="5"/>
      <c r="AD2" s="5"/>
      <c r="AE2" s="5"/>
    </row>
    <row r="3" ht="24.75" customHeight="1">
      <c r="A3" s="7"/>
      <c r="B3" s="7"/>
      <c r="C3" s="7"/>
      <c r="D3" s="7"/>
      <c r="E3" s="7"/>
      <c r="F3" s="7"/>
      <c r="G3" s="7"/>
      <c r="H3" s="7"/>
      <c r="I3" s="8"/>
      <c r="J3" s="8"/>
      <c r="K3" s="8"/>
      <c r="L3" s="8"/>
      <c r="M3" s="8"/>
      <c r="N3" s="8"/>
      <c r="O3" s="8"/>
      <c r="P3" s="8"/>
      <c r="Q3" s="8"/>
      <c r="R3" s="8"/>
      <c r="S3" s="5"/>
      <c r="T3" s="5"/>
      <c r="U3" s="5"/>
      <c r="V3" s="5"/>
      <c r="W3" s="5"/>
      <c r="X3" s="5"/>
      <c r="Y3" s="5"/>
      <c r="Z3" s="5"/>
      <c r="AA3" s="5"/>
      <c r="AB3" s="5"/>
      <c r="AC3" s="5"/>
      <c r="AD3" s="5"/>
      <c r="AE3" s="5"/>
    </row>
    <row r="4" ht="26.25" customHeight="1">
      <c r="A4" s="9" t="str">
        <f>Language!C5</f>
        <v>Nombre del/de la estudiante:</v>
      </c>
      <c r="B4" s="10"/>
      <c r="C4" s="10"/>
      <c r="D4" s="11"/>
      <c r="E4" s="10"/>
      <c r="F4" s="10"/>
      <c r="G4" s="10"/>
      <c r="H4" s="10"/>
      <c r="I4" s="10"/>
      <c r="J4" s="10"/>
      <c r="K4" s="10"/>
      <c r="L4" s="10"/>
      <c r="M4" s="10"/>
      <c r="N4" s="10"/>
      <c r="O4" s="10"/>
      <c r="P4" s="10"/>
      <c r="Q4" s="10"/>
      <c r="R4" s="12"/>
      <c r="S4" s="13"/>
      <c r="T4" s="13"/>
      <c r="U4" s="13"/>
      <c r="V4" s="14"/>
      <c r="W4" s="14"/>
      <c r="X4" s="5"/>
      <c r="Y4" s="5"/>
      <c r="Z4" s="5"/>
      <c r="AA4" s="5"/>
      <c r="AB4" s="5"/>
      <c r="AC4" s="5"/>
      <c r="AD4" s="5"/>
      <c r="AE4" s="5"/>
    </row>
    <row r="5" ht="26.25" customHeight="1">
      <c r="A5" s="15" t="str">
        <f>Language!C6</f>
        <v>Título del trabajo:</v>
      </c>
      <c r="D5" s="16"/>
      <c r="R5" s="17"/>
      <c r="S5" s="13"/>
      <c r="T5" s="13"/>
      <c r="U5" s="13"/>
      <c r="V5" s="14"/>
      <c r="W5" s="14"/>
      <c r="X5" s="5"/>
      <c r="Y5" s="5"/>
      <c r="Z5" s="5"/>
      <c r="AA5" s="5"/>
      <c r="AB5" s="5"/>
      <c r="AC5" s="5"/>
      <c r="AD5" s="5"/>
      <c r="AE5" s="5"/>
    </row>
    <row r="6" ht="26.25" customHeight="1">
      <c r="A6" s="15" t="str">
        <f>Language!C7</f>
        <v>Programa:		</v>
      </c>
      <c r="D6" s="16" t="s">
        <v>0</v>
      </c>
      <c r="R6" s="17"/>
      <c r="S6" s="13"/>
      <c r="T6" s="13"/>
      <c r="U6" s="13"/>
      <c r="V6" s="14"/>
      <c r="W6" s="14"/>
      <c r="X6" s="5"/>
      <c r="Y6" s="5"/>
      <c r="Z6" s="5"/>
      <c r="AA6" s="5"/>
      <c r="AB6" s="5"/>
      <c r="AC6" s="5"/>
      <c r="AD6" s="5"/>
      <c r="AE6" s="5"/>
    </row>
    <row r="7" ht="26.25" customHeight="1">
      <c r="A7" s="15" t="str">
        <f>Language!C8</f>
        <v>Semestre:</v>
      </c>
      <c r="D7" s="18" t="s">
        <v>1</v>
      </c>
      <c r="R7" s="17"/>
      <c r="S7" s="13"/>
      <c r="T7" s="13"/>
      <c r="U7" s="13"/>
      <c r="V7" s="14"/>
      <c r="W7" s="14"/>
      <c r="X7" s="5"/>
      <c r="Y7" s="5"/>
      <c r="Z7" s="5"/>
      <c r="AA7" s="5"/>
      <c r="AB7" s="5"/>
      <c r="AC7" s="5"/>
      <c r="AD7" s="5"/>
      <c r="AE7" s="5"/>
    </row>
    <row r="8" ht="26.25" customHeight="1">
      <c r="A8" s="15" t="str">
        <f>Language!C9</f>
        <v>Tutor/a:</v>
      </c>
      <c r="D8" s="19"/>
      <c r="R8" s="17"/>
      <c r="S8" s="13"/>
      <c r="T8" s="13"/>
      <c r="U8" s="13"/>
      <c r="V8" s="14"/>
      <c r="W8" s="14"/>
      <c r="X8" s="5"/>
      <c r="Y8" s="5"/>
      <c r="Z8" s="5"/>
      <c r="AA8" s="5"/>
      <c r="AB8" s="5"/>
      <c r="AC8" s="5"/>
      <c r="AD8" s="5"/>
      <c r="AE8" s="5"/>
    </row>
    <row r="9" ht="26.25" customHeight="1">
      <c r="A9" s="15" t="str">
        <f>Language!C10</f>
        <v>Evaluador/a 1:</v>
      </c>
      <c r="D9" s="19"/>
      <c r="R9" s="17"/>
      <c r="S9" s="13"/>
      <c r="T9" s="13"/>
      <c r="U9" s="13"/>
      <c r="V9" s="14"/>
      <c r="W9" s="14"/>
      <c r="X9" s="5"/>
      <c r="Y9" s="5"/>
      <c r="Z9" s="5"/>
      <c r="AA9" s="5"/>
      <c r="AB9" s="5"/>
      <c r="AC9" s="5"/>
      <c r="AD9" s="5"/>
      <c r="AE9" s="5"/>
    </row>
    <row r="10" ht="26.25" customHeight="1">
      <c r="A10" s="15" t="str">
        <f>Language!C11</f>
        <v>Evaluador/a 2:</v>
      </c>
      <c r="D10" s="19"/>
      <c r="R10" s="17"/>
      <c r="S10" s="13"/>
      <c r="T10" s="13"/>
      <c r="U10" s="13"/>
      <c r="V10" s="14"/>
      <c r="W10" s="14"/>
      <c r="X10" s="5"/>
      <c r="Y10" s="5"/>
      <c r="Z10" s="5"/>
      <c r="AA10" s="5"/>
      <c r="AB10" s="5"/>
      <c r="AC10" s="5"/>
      <c r="AD10" s="5"/>
      <c r="AE10" s="5"/>
    </row>
    <row r="11" ht="26.25" customHeight="1">
      <c r="A11" s="20" t="str">
        <f>Language!C12</f>
        <v>Evaluador/a 3:</v>
      </c>
      <c r="B11" s="21"/>
      <c r="C11" s="21"/>
      <c r="D11" s="22"/>
      <c r="E11" s="21"/>
      <c r="F11" s="21"/>
      <c r="G11" s="21"/>
      <c r="H11" s="21"/>
      <c r="I11" s="21"/>
      <c r="J11" s="21"/>
      <c r="K11" s="21"/>
      <c r="L11" s="21"/>
      <c r="M11" s="21"/>
      <c r="N11" s="21"/>
      <c r="O11" s="21"/>
      <c r="P11" s="21"/>
      <c r="Q11" s="21"/>
      <c r="R11" s="23"/>
      <c r="S11" s="13"/>
      <c r="T11" s="13"/>
      <c r="U11" s="13"/>
      <c r="V11" s="14"/>
      <c r="W11" s="14"/>
      <c r="X11" s="5"/>
      <c r="Y11" s="5"/>
      <c r="Z11" s="5"/>
      <c r="AA11" s="5"/>
      <c r="AB11" s="5"/>
      <c r="AC11" s="5"/>
      <c r="AD11" s="5"/>
      <c r="AE11" s="5"/>
    </row>
    <row r="12" ht="19.5" customHeight="1">
      <c r="I12" s="24"/>
      <c r="J12" s="24"/>
      <c r="V12" s="5"/>
      <c r="W12" s="5"/>
      <c r="X12" s="5"/>
      <c r="Y12" s="5"/>
      <c r="Z12" s="5"/>
      <c r="AA12" s="5"/>
      <c r="AB12" s="5"/>
      <c r="AC12" s="5"/>
      <c r="AD12" s="5"/>
      <c r="AE12" s="5"/>
    </row>
    <row r="13" ht="19.5" customHeight="1">
      <c r="A13" s="25" t="s">
        <v>2</v>
      </c>
      <c r="B13" s="26"/>
      <c r="C13" s="25" t="s">
        <v>3</v>
      </c>
      <c r="D13" s="26"/>
      <c r="E13" s="25" t="s">
        <v>4</v>
      </c>
      <c r="F13" s="26"/>
      <c r="G13" s="25" t="s">
        <v>5</v>
      </c>
      <c r="H13" s="27"/>
      <c r="I13" s="27"/>
      <c r="J13" s="26"/>
      <c r="K13" s="25" t="s">
        <v>6</v>
      </c>
      <c r="L13" s="27"/>
      <c r="M13" s="27"/>
      <c r="N13" s="27"/>
      <c r="O13" s="27"/>
      <c r="P13" s="26"/>
      <c r="AD13" s="28"/>
      <c r="AE13" s="28"/>
    </row>
    <row r="14" ht="19.5" customHeight="1">
      <c r="A14" s="29">
        <v>10.0</v>
      </c>
      <c r="B14" s="29">
        <v>9.0</v>
      </c>
      <c r="C14" s="29">
        <v>8.0</v>
      </c>
      <c r="D14" s="29">
        <v>7.0</v>
      </c>
      <c r="E14" s="29">
        <v>6.0</v>
      </c>
      <c r="F14" s="29">
        <v>5.0</v>
      </c>
      <c r="G14" s="30">
        <v>4.0</v>
      </c>
      <c r="H14" s="26"/>
      <c r="I14" s="30">
        <v>3.0</v>
      </c>
      <c r="J14" s="26"/>
      <c r="K14" s="30">
        <v>2.0</v>
      </c>
      <c r="L14" s="26"/>
      <c r="M14" s="30">
        <v>1.0</v>
      </c>
      <c r="N14" s="26"/>
      <c r="O14" s="30">
        <v>0.0</v>
      </c>
      <c r="P14" s="26"/>
      <c r="AD14" s="5"/>
      <c r="AE14" s="5"/>
    </row>
    <row r="15" ht="24.75" customHeight="1">
      <c r="A15" s="5"/>
      <c r="B15" s="5"/>
      <c r="C15" s="5"/>
      <c r="E15" s="5"/>
      <c r="G15" s="5"/>
      <c r="H15" s="5"/>
      <c r="K15" s="5"/>
      <c r="L15" s="5"/>
      <c r="O15" s="5"/>
      <c r="P15" s="5"/>
      <c r="R15" s="28"/>
      <c r="T15" s="31"/>
      <c r="U15" s="31"/>
    </row>
    <row r="16" ht="43.5" customHeight="1">
      <c r="A16" s="32" t="str">
        <f>Language!C14</f>
        <v>Evaluación del tutor/a</v>
      </c>
      <c r="B16" s="33"/>
      <c r="C16" s="33"/>
      <c r="D16" s="33"/>
      <c r="E16" s="33"/>
      <c r="F16" s="34"/>
      <c r="G16" s="35" t="str">
        <f>Language!C20</f>
        <v>PEC1: 
Propuesta inicial y planificación</v>
      </c>
      <c r="H16" s="33"/>
      <c r="I16" s="36" t="str">
        <f>Language!C21</f>
        <v>PEC2:
Desarrollo del proyecto</v>
      </c>
      <c r="J16" s="33"/>
      <c r="K16" s="36" t="str">
        <f>Language!C22</f>
        <v>PEC3:
Desarrollo del proyecto</v>
      </c>
      <c r="L16" s="33"/>
      <c r="M16" s="36" t="str">
        <f>Language!C23</f>
        <v>PEC 4:
Entrega final</v>
      </c>
      <c r="N16" s="33"/>
      <c r="O16" s="36"/>
      <c r="P16" s="34"/>
      <c r="Q16" s="37" t="str">
        <f>Language!C24</f>
        <v>Notas finales de la evaluación del tutor/a</v>
      </c>
      <c r="R16" s="26"/>
      <c r="T16" s="31"/>
      <c r="U16" s="31"/>
    </row>
    <row r="17">
      <c r="A17" s="38" t="str">
        <f>Language!C29</f>
        <v>Actitud del/de la estudiante</v>
      </c>
      <c r="B17" s="27"/>
      <c r="C17" s="27"/>
      <c r="D17" s="27"/>
      <c r="E17" s="27"/>
      <c r="F17" s="26"/>
      <c r="G17" s="39" t="str">
        <f>Language!C25</f>
        <v>Peso</v>
      </c>
      <c r="H17" s="40" t="s">
        <v>7</v>
      </c>
      <c r="I17" s="39" t="str">
        <f>Language!C25</f>
        <v>Peso</v>
      </c>
      <c r="J17" s="40" t="s">
        <v>7</v>
      </c>
      <c r="K17" s="39" t="str">
        <f>Language!C25</f>
        <v>Peso</v>
      </c>
      <c r="L17" s="40" t="s">
        <v>7</v>
      </c>
      <c r="M17" s="39" t="str">
        <f>Language!C25</f>
        <v>Peso</v>
      </c>
      <c r="N17" s="40" t="s">
        <v>7</v>
      </c>
      <c r="O17" s="39" t="str">
        <f>Language!C25</f>
        <v>Peso</v>
      </c>
      <c r="P17" s="40" t="s">
        <v>7</v>
      </c>
      <c r="Q17" s="41" t="s">
        <v>8</v>
      </c>
      <c r="R17" s="34"/>
      <c r="S17" s="42" t="str">
        <f>Language!C75</f>
        <v>% peso nota final</v>
      </c>
      <c r="T17" s="26"/>
      <c r="U17" s="43"/>
      <c r="V17" s="43"/>
      <c r="W17" s="43"/>
      <c r="X17" s="43"/>
      <c r="Y17" s="43"/>
      <c r="Z17" s="43"/>
      <c r="AA17" s="43"/>
      <c r="AB17" s="43"/>
      <c r="AC17" s="43"/>
      <c r="AD17" s="43"/>
      <c r="AE17" s="43"/>
    </row>
    <row r="18">
      <c r="A18" s="44" t="str">
        <f>Language!C30</f>
        <v>Grado de autonomía, creatividad, iniciativa, receptividad a la crítica, y buena comunicación con el tutor/a</v>
      </c>
      <c r="B18" s="45"/>
      <c r="C18" s="45"/>
      <c r="D18" s="45"/>
      <c r="E18" s="45"/>
      <c r="F18" s="46"/>
      <c r="G18" s="47">
        <v>1.0</v>
      </c>
      <c r="H18" s="48" t="s">
        <v>9</v>
      </c>
      <c r="I18" s="49">
        <v>1.0</v>
      </c>
      <c r="J18" s="48" t="s">
        <v>9</v>
      </c>
      <c r="K18" s="49">
        <v>1.0</v>
      </c>
      <c r="L18" s="48" t="s">
        <v>9</v>
      </c>
      <c r="M18" s="49">
        <v>1.0</v>
      </c>
      <c r="N18" s="48" t="s">
        <v>9</v>
      </c>
      <c r="O18" s="49">
        <v>1.0</v>
      </c>
      <c r="P18" s="50" t="s">
        <v>9</v>
      </c>
      <c r="Q18" s="51" t="str">
        <f>IF(ISNUMBER(U18),IF(U18&gt;=9,"A",IF(U18&gt;=7,"B",IF(U18&gt;=5,"C+",IF(U18&gt;=3,"C-","D")))),"N")</f>
        <v>D</v>
      </c>
      <c r="R18" s="52"/>
      <c r="S18" s="53">
        <f>G18/SUM(G$18:G$35)*G$36+I18/SUM(I$18:I$35)*I$36+K18/SUM(K$18:K$35)*K$36+M18/SUM(M$18:M$35)*M$36+O18/SUM(O$18:O$35)*O$36</f>
        <v>0.07577838828</v>
      </c>
      <c r="T18" s="54">
        <f>S18</f>
        <v>0.07577838828</v>
      </c>
      <c r="U18" s="55">
        <f>IF(EQ(SUM(G18*$G$36,I18*$I$36,K18*$K$36,M18*$M$36,O18*$O$36),0),"N",(IF(G18*$G$36&gt;0,IF(ISNUMBER(H18),H18,0),0) + IF(I18*$I$36&gt;0,IF(ISNUMBER(J18),J18,0),0) + IF(K18*$K$36&gt;0,IF(ISNUMBER(L18),L18,0),0) + IF(M18*$M$36&gt;0,IF(ISNUMBER(N18),N18,0),0) + IF(O18*$O$36&gt;0,IF(ISNUMBER(P18),P18,0),0))/SUM(IF(G18*$G$36&gt;0,1,0),IF(I18*$I$36&gt;0,1,0),IF(K18*$K$36&gt;0,1,0),IF(M18*$M$36&gt;0,1,0),IF(O18*$O$36&gt;0,1,0)))</f>
        <v>0</v>
      </c>
      <c r="X18" s="56"/>
      <c r="Y18" s="56"/>
      <c r="Z18" s="56"/>
      <c r="AA18" s="56"/>
      <c r="AB18" s="57"/>
      <c r="AC18" s="57"/>
      <c r="AD18" s="57"/>
      <c r="AE18" s="57"/>
    </row>
    <row r="19">
      <c r="A19" s="38" t="str">
        <f>Language!C31</f>
        <v>Aspectos metodológicos</v>
      </c>
      <c r="B19" s="27"/>
      <c r="C19" s="27"/>
      <c r="D19" s="27"/>
      <c r="E19" s="27"/>
      <c r="F19" s="27"/>
      <c r="G19" s="27"/>
      <c r="H19" s="27"/>
      <c r="I19" s="27"/>
      <c r="J19" s="27"/>
      <c r="K19" s="27"/>
      <c r="L19" s="27"/>
      <c r="M19" s="27"/>
      <c r="N19" s="27"/>
      <c r="O19" s="27"/>
      <c r="P19" s="27"/>
      <c r="Q19" s="27"/>
      <c r="R19" s="26"/>
      <c r="S19" s="58"/>
      <c r="T19" s="59"/>
      <c r="U19" s="60"/>
      <c r="X19" s="56"/>
      <c r="Y19" s="56"/>
      <c r="Z19" s="56"/>
      <c r="AA19" s="56"/>
      <c r="AB19" s="61"/>
      <c r="AC19" s="61"/>
      <c r="AD19" s="61"/>
      <c r="AE19" s="61"/>
    </row>
    <row r="20">
      <c r="A20" s="44" t="str">
        <f>Language!C32</f>
        <v>Definición de unos objetivos claros, concretos, realistas y adecuados</v>
      </c>
      <c r="B20" s="45"/>
      <c r="C20" s="45"/>
      <c r="D20" s="45"/>
      <c r="E20" s="45"/>
      <c r="F20" s="46"/>
      <c r="G20" s="62">
        <v>2.0</v>
      </c>
      <c r="H20" s="48" t="s">
        <v>9</v>
      </c>
      <c r="I20" s="62">
        <v>0.0</v>
      </c>
      <c r="J20" s="63" t="s">
        <v>9</v>
      </c>
      <c r="K20" s="62">
        <v>0.0</v>
      </c>
      <c r="L20" s="63" t="s">
        <v>9</v>
      </c>
      <c r="M20" s="62">
        <v>0.0</v>
      </c>
      <c r="N20" s="63" t="s">
        <v>9</v>
      </c>
      <c r="O20" s="62">
        <v>1.0</v>
      </c>
      <c r="P20" s="64" t="s">
        <v>9</v>
      </c>
      <c r="Q20" s="51" t="str">
        <f t="shared" ref="Q20:Q21" si="1">IF(ISNUMBER(U20),IF(U20&gt;=9,"A",IF(U20&gt;=7,"B",IF(U20&gt;=5,"C+",IF(U20&gt;=3,"C-","D")))),"N")</f>
        <v>D</v>
      </c>
      <c r="R20" s="52"/>
      <c r="S20" s="65">
        <f t="shared" ref="S20:S21" si="2">G20/SUM(G$18:G$35)*G$36+I20/SUM(I$18:I$35)*I$36+K20/SUM(K$18:K$35)*K$36+M20/SUM(M$18:M$35)*M$36+O20/SUM(O$18:O$35)*O$36</f>
        <v>0.03571428571</v>
      </c>
      <c r="T20" s="66">
        <f>SUM(S20:S21)</f>
        <v>0.07142857143</v>
      </c>
      <c r="U20" s="60">
        <f t="shared" ref="U20:U21" si="3">IF(EQ(SUM(G20*$G$36,I20*$I$36,K20*$K$36,M20*$M$36,O20*$O$36),0),"N",(IF(G20*$G$36&gt;0,IF(ISNUMBER(H20),H20,0),0) + IF(I20*$I$36&gt;0,IF(ISNUMBER(J20),J20,0),0) + IF(K20*$K$36&gt;0,IF(ISNUMBER(L20),L20,0),0) + IF(M20*$M$36&gt;0,IF(ISNUMBER(N20),N20,0),0) + IF(O20*$O$36&gt;0,IF(ISNUMBER(P20),P20,0),0))/SUM(IF(G20*$G$36&gt;0,1,0),IF(I20*$I$36&gt;0,1,0),IF(K20*$K$36&gt;0,1,0),IF(M20*$M$36&gt;0,1,0),IF(O20*$O$36&gt;0,1,0)))</f>
        <v>0</v>
      </c>
      <c r="X20" s="56"/>
      <c r="Y20" s="56"/>
      <c r="Z20" s="56"/>
      <c r="AA20" s="56"/>
      <c r="AB20" s="61"/>
      <c r="AC20" s="61"/>
      <c r="AD20" s="61"/>
      <c r="AE20" s="61"/>
    </row>
    <row r="21" ht="15.75" customHeight="1">
      <c r="A21" s="67" t="str">
        <f>Language!C33</f>
        <v>Definición de la metodología, planificación temporal y de recursos</v>
      </c>
      <c r="B21" s="21"/>
      <c r="C21" s="21"/>
      <c r="D21" s="21"/>
      <c r="E21" s="21"/>
      <c r="F21" s="23"/>
      <c r="G21" s="68">
        <v>2.0</v>
      </c>
      <c r="H21" s="48" t="s">
        <v>9</v>
      </c>
      <c r="I21" s="68">
        <v>0.0</v>
      </c>
      <c r="J21" s="69" t="s">
        <v>9</v>
      </c>
      <c r="K21" s="68">
        <v>0.0</v>
      </c>
      <c r="L21" s="69" t="s">
        <v>9</v>
      </c>
      <c r="M21" s="68">
        <v>0.0</v>
      </c>
      <c r="N21" s="69" t="s">
        <v>9</v>
      </c>
      <c r="O21" s="68">
        <v>1.0</v>
      </c>
      <c r="P21" s="70" t="s">
        <v>9</v>
      </c>
      <c r="Q21" s="71" t="str">
        <f t="shared" si="1"/>
        <v>D</v>
      </c>
      <c r="R21" s="72"/>
      <c r="S21" s="73">
        <f t="shared" si="2"/>
        <v>0.03571428571</v>
      </c>
      <c r="T21" s="74"/>
      <c r="U21" s="60">
        <f t="shared" si="3"/>
        <v>0</v>
      </c>
      <c r="X21" s="56"/>
      <c r="Y21" s="56"/>
      <c r="Z21" s="56"/>
      <c r="AA21" s="56"/>
      <c r="AB21" s="61"/>
      <c r="AC21" s="61"/>
      <c r="AD21" s="61"/>
      <c r="AE21" s="61"/>
    </row>
    <row r="22" ht="15.75" customHeight="1">
      <c r="A22" s="38" t="str">
        <f>Language!C34</f>
        <v>Especificación y diseño</v>
      </c>
      <c r="B22" s="27"/>
      <c r="C22" s="27"/>
      <c r="D22" s="27"/>
      <c r="E22" s="27"/>
      <c r="F22" s="27"/>
      <c r="G22" s="27"/>
      <c r="H22" s="27"/>
      <c r="I22" s="27"/>
      <c r="J22" s="27"/>
      <c r="K22" s="27"/>
      <c r="L22" s="27"/>
      <c r="M22" s="27"/>
      <c r="N22" s="27"/>
      <c r="O22" s="27"/>
      <c r="P22" s="27"/>
      <c r="Q22" s="27"/>
      <c r="R22" s="26"/>
      <c r="S22" s="58"/>
      <c r="T22" s="59"/>
      <c r="U22" s="60"/>
      <c r="X22" s="56"/>
      <c r="Y22" s="56"/>
      <c r="Z22" s="56"/>
      <c r="AA22" s="56"/>
      <c r="AB22" s="5"/>
      <c r="AC22" s="5"/>
      <c r="AD22" s="5"/>
      <c r="AE22" s="5"/>
    </row>
    <row r="23" ht="15.75" customHeight="1">
      <c r="A23" s="75" t="str">
        <f>Language!C35</f>
        <v>Estudio previo e identificación de los aspectos relevantes del problema y de su solución (e.g. estado del arte, estudio de mercado)</v>
      </c>
      <c r="B23" s="10"/>
      <c r="C23" s="10"/>
      <c r="D23" s="10"/>
      <c r="E23" s="10"/>
      <c r="F23" s="12"/>
      <c r="G23" s="76">
        <v>1.0</v>
      </c>
      <c r="H23" s="48" t="s">
        <v>9</v>
      </c>
      <c r="I23" s="77">
        <v>2.0</v>
      </c>
      <c r="J23" s="48" t="s">
        <v>9</v>
      </c>
      <c r="K23" s="77">
        <v>0.0</v>
      </c>
      <c r="L23" s="78" t="s">
        <v>9</v>
      </c>
      <c r="M23" s="77">
        <v>0.0</v>
      </c>
      <c r="N23" s="78" t="s">
        <v>9</v>
      </c>
      <c r="O23" s="77">
        <v>1.0</v>
      </c>
      <c r="P23" s="79" t="s">
        <v>9</v>
      </c>
      <c r="Q23" s="51" t="str">
        <f t="shared" ref="Q23:Q27" si="4">IF(ISNUMBER(U23),IF(U23&gt;=9,"A",IF(U23&gt;=7,"B",IF(U23&gt;=5,"C+",IF(U23&gt;=3,"C-","D")))),"N")</f>
        <v>D</v>
      </c>
      <c r="R23" s="52"/>
      <c r="S23" s="65">
        <f t="shared" ref="S23:S27" si="5">G23/SUM(G$18:G$35)*G$36+I23/SUM(I$18:I$35)*I$36+K23/SUM(K$18:K$35)*K$36+M23/SUM(M$18:M$35)*M$36+O23/SUM(O$18:O$35)*O$36</f>
        <v>0.05631868132</v>
      </c>
      <c r="T23" s="66">
        <f>SUM(S23:S27)</f>
        <v>0.3372252747</v>
      </c>
      <c r="U23" s="60">
        <f t="shared" ref="U23:U27" si="6">IF(EQ(SUM(G23*$G$36,I23*$I$36,K23*$K$36,M23*$M$36,O23*$O$36),0),"N",(IF(G23*$G$36&gt;0,IF(ISNUMBER(H23),H23,0),0) + IF(I23*$I$36&gt;0,IF(ISNUMBER(J23),J23,0),0) + IF(K23*$K$36&gt;0,IF(ISNUMBER(L23),L23,0),0) + IF(M23*$M$36&gt;0,IF(ISNUMBER(N23),N23,0),0) + IF(O23*$O$36&gt;0,IF(ISNUMBER(P23),P23,0),0))/SUM(IF(G23*$G$36&gt;0,1,0),IF(I23*$I$36&gt;0,1,0),IF(K23*$K$36&gt;0,1,0),IF(M23*$M$36&gt;0,1,0),IF(O23*$O$36&gt;0,1,0)))</f>
        <v>0</v>
      </c>
      <c r="X23" s="56"/>
      <c r="Y23" s="56"/>
      <c r="Z23" s="56"/>
      <c r="AA23" s="56"/>
      <c r="AB23" s="5"/>
      <c r="AC23" s="5"/>
      <c r="AD23" s="5"/>
      <c r="AE23" s="5"/>
    </row>
    <row r="24" ht="15.75" customHeight="1">
      <c r="A24" s="80" t="str">
        <f>Language!C36</f>
        <v>Análisis de requerimientos</v>
      </c>
      <c r="B24" s="81"/>
      <c r="C24" s="81"/>
      <c r="D24" s="81"/>
      <c r="E24" s="81"/>
      <c r="F24" s="82"/>
      <c r="G24" s="47">
        <v>2.0</v>
      </c>
      <c r="H24" s="48" t="s">
        <v>9</v>
      </c>
      <c r="I24" s="62">
        <v>0.0</v>
      </c>
      <c r="J24" s="63" t="s">
        <v>9</v>
      </c>
      <c r="K24" s="62">
        <v>0.0</v>
      </c>
      <c r="L24" s="63" t="s">
        <v>9</v>
      </c>
      <c r="M24" s="62">
        <v>0.0</v>
      </c>
      <c r="N24" s="63" t="s">
        <v>9</v>
      </c>
      <c r="O24" s="62">
        <v>1.0</v>
      </c>
      <c r="P24" s="64" t="s">
        <v>9</v>
      </c>
      <c r="Q24" s="83" t="str">
        <f t="shared" si="4"/>
        <v>D</v>
      </c>
      <c r="R24" s="82"/>
      <c r="S24" s="84">
        <f t="shared" si="5"/>
        <v>0.03571428571</v>
      </c>
      <c r="T24" s="85"/>
      <c r="U24" s="55">
        <f t="shared" si="6"/>
        <v>0</v>
      </c>
      <c r="X24" s="56"/>
      <c r="Y24" s="56"/>
      <c r="Z24" s="56"/>
      <c r="AA24" s="56"/>
      <c r="AB24" s="5"/>
      <c r="AC24" s="5"/>
      <c r="AD24" s="5"/>
      <c r="AE24" s="5"/>
    </row>
    <row r="25" ht="15.75" customHeight="1">
      <c r="A25" s="80" t="str">
        <f>Language!C37</f>
        <v>Diseño adecuado de la propuesta</v>
      </c>
      <c r="B25" s="81"/>
      <c r="C25" s="81"/>
      <c r="D25" s="81"/>
      <c r="E25" s="81"/>
      <c r="F25" s="82"/>
      <c r="G25" s="47">
        <v>1.0</v>
      </c>
      <c r="H25" s="48" t="s">
        <v>9</v>
      </c>
      <c r="I25" s="68">
        <v>2.0</v>
      </c>
      <c r="J25" s="48" t="s">
        <v>9</v>
      </c>
      <c r="K25" s="68">
        <v>2.0</v>
      </c>
      <c r="L25" s="48" t="s">
        <v>9</v>
      </c>
      <c r="M25" s="68">
        <v>2.0</v>
      </c>
      <c r="N25" s="48" t="s">
        <v>9</v>
      </c>
      <c r="O25" s="68">
        <v>1.0</v>
      </c>
      <c r="P25" s="64" t="s">
        <v>9</v>
      </c>
      <c r="Q25" s="83" t="str">
        <f t="shared" si="4"/>
        <v>D</v>
      </c>
      <c r="R25" s="82"/>
      <c r="S25" s="84">
        <f t="shared" si="5"/>
        <v>0.1336996337</v>
      </c>
      <c r="T25" s="85"/>
      <c r="U25" s="55">
        <f t="shared" si="6"/>
        <v>0</v>
      </c>
      <c r="X25" s="56"/>
      <c r="Y25" s="56"/>
      <c r="Z25" s="56"/>
      <c r="AA25" s="56"/>
      <c r="AB25" s="5"/>
      <c r="AC25" s="5"/>
      <c r="AD25" s="5"/>
      <c r="AE25" s="5"/>
    </row>
    <row r="26" ht="15.75" customHeight="1">
      <c r="A26" s="80" t="str">
        <f>Language!C38</f>
        <v>Elección de herramientas, tecnologías y fuentes de información adecuadas para el desarrollo del trabajo</v>
      </c>
      <c r="B26" s="81"/>
      <c r="C26" s="81"/>
      <c r="D26" s="81"/>
      <c r="E26" s="81"/>
      <c r="F26" s="82"/>
      <c r="G26" s="47">
        <v>1.0</v>
      </c>
      <c r="H26" s="48" t="s">
        <v>9</v>
      </c>
      <c r="I26" s="68">
        <v>1.0</v>
      </c>
      <c r="J26" s="48" t="s">
        <v>9</v>
      </c>
      <c r="K26" s="68">
        <v>1.0</v>
      </c>
      <c r="L26" s="48" t="s">
        <v>9</v>
      </c>
      <c r="M26" s="68">
        <v>1.0</v>
      </c>
      <c r="N26" s="48" t="s">
        <v>9</v>
      </c>
      <c r="O26" s="68">
        <v>1.0</v>
      </c>
      <c r="P26" s="64" t="s">
        <v>9</v>
      </c>
      <c r="Q26" s="83" t="str">
        <f t="shared" si="4"/>
        <v>D</v>
      </c>
      <c r="R26" s="82"/>
      <c r="S26" s="84">
        <f t="shared" si="5"/>
        <v>0.07577838828</v>
      </c>
      <c r="T26" s="85"/>
      <c r="U26" s="55">
        <f t="shared" si="6"/>
        <v>0</v>
      </c>
      <c r="X26" s="56"/>
      <c r="Y26" s="56"/>
      <c r="Z26" s="56"/>
      <c r="AA26" s="56"/>
      <c r="AB26" s="5"/>
      <c r="AC26" s="5"/>
      <c r="AD26" s="5"/>
      <c r="AE26" s="5"/>
    </row>
    <row r="27" ht="15.75" customHeight="1">
      <c r="A27" s="67" t="str">
        <f>Language!C39</f>
        <v>Grado de análisis y tratamiento del impacto ético-social, de sostenibilidad y de diversidad del trabajo</v>
      </c>
      <c r="B27" s="21"/>
      <c r="C27" s="21"/>
      <c r="D27" s="21"/>
      <c r="E27" s="21"/>
      <c r="F27" s="23"/>
      <c r="G27" s="86">
        <v>1.0</v>
      </c>
      <c r="H27" s="48" t="s">
        <v>9</v>
      </c>
      <c r="I27" s="68">
        <v>0.0</v>
      </c>
      <c r="J27" s="69" t="s">
        <v>9</v>
      </c>
      <c r="K27" s="68">
        <v>0.0</v>
      </c>
      <c r="L27" s="69" t="s">
        <v>9</v>
      </c>
      <c r="M27" s="68">
        <v>1.0</v>
      </c>
      <c r="N27" s="48" t="s">
        <v>9</v>
      </c>
      <c r="O27" s="68">
        <v>1.0</v>
      </c>
      <c r="P27" s="70" t="s">
        <v>9</v>
      </c>
      <c r="Q27" s="71" t="str">
        <f t="shared" si="4"/>
        <v>D</v>
      </c>
      <c r="R27" s="72"/>
      <c r="S27" s="73">
        <f t="shared" si="5"/>
        <v>0.03571428571</v>
      </c>
      <c r="T27" s="74"/>
      <c r="U27" s="55">
        <f t="shared" si="6"/>
        <v>0</v>
      </c>
      <c r="X27" s="56"/>
      <c r="Y27" s="56"/>
      <c r="Z27" s="56"/>
      <c r="AA27" s="56"/>
      <c r="AB27" s="5"/>
      <c r="AC27" s="5"/>
      <c r="AD27" s="5"/>
      <c r="AE27" s="5"/>
    </row>
    <row r="28" ht="15.75" customHeight="1">
      <c r="A28" s="38" t="str">
        <f>Language!C40</f>
        <v>Ejecución e implementación del proyecto</v>
      </c>
      <c r="B28" s="27"/>
      <c r="C28" s="27"/>
      <c r="D28" s="27"/>
      <c r="E28" s="27"/>
      <c r="F28" s="27"/>
      <c r="G28" s="27"/>
      <c r="H28" s="27"/>
      <c r="I28" s="27"/>
      <c r="J28" s="27"/>
      <c r="K28" s="27"/>
      <c r="L28" s="27"/>
      <c r="M28" s="27"/>
      <c r="N28" s="27"/>
      <c r="O28" s="27"/>
      <c r="P28" s="27"/>
      <c r="Q28" s="27"/>
      <c r="R28" s="26"/>
      <c r="S28" s="87"/>
      <c r="T28" s="88"/>
      <c r="U28" s="55"/>
      <c r="X28" s="56"/>
      <c r="Y28" s="56"/>
      <c r="Z28" s="56"/>
      <c r="AA28" s="56"/>
      <c r="AB28" s="5"/>
      <c r="AC28" s="5"/>
      <c r="AD28" s="5"/>
      <c r="AE28" s="5"/>
    </row>
    <row r="29" ht="15.75" customHeight="1">
      <c r="A29" s="75" t="str">
        <f>Language!C41</f>
        <v>Seguimiento de la planificación y capacidad de adaptación</v>
      </c>
      <c r="B29" s="10"/>
      <c r="C29" s="10"/>
      <c r="D29" s="10"/>
      <c r="E29" s="10"/>
      <c r="F29" s="12"/>
      <c r="G29" s="76">
        <v>0.0</v>
      </c>
      <c r="H29" s="78" t="s">
        <v>9</v>
      </c>
      <c r="I29" s="77">
        <v>1.0</v>
      </c>
      <c r="J29" s="48" t="s">
        <v>9</v>
      </c>
      <c r="K29" s="77">
        <v>1.0</v>
      </c>
      <c r="L29" s="48" t="s">
        <v>9</v>
      </c>
      <c r="M29" s="77">
        <v>1.0</v>
      </c>
      <c r="N29" s="48" t="s">
        <v>9</v>
      </c>
      <c r="O29" s="77">
        <v>1.0</v>
      </c>
      <c r="P29" s="79" t="s">
        <v>9</v>
      </c>
      <c r="Q29" s="51" t="str">
        <f t="shared" ref="Q29:Q32" si="7">IF(ISNUMBER(U29),IF(U29&gt;=9,"A",IF(U29&gt;=7,"B",IF(U29&gt;=5,"C+",IF(U29&gt;=3,"C-","D")))),"N")</f>
        <v>D</v>
      </c>
      <c r="R29" s="52"/>
      <c r="S29" s="65">
        <f t="shared" ref="S29:S32" si="8">G29/SUM(G$18:G$35)*G$36+I29/SUM(I$18:I$35)*I$36+K29/SUM(K$18:K$35)*K$36+M29/SUM(M$18:M$35)*M$36+O29/SUM(O$18:O$35)*O$36</f>
        <v>0.05792124542</v>
      </c>
      <c r="T29" s="66">
        <f>SUM(S29:S32)</f>
        <v>0.2882326007</v>
      </c>
      <c r="U29" s="55">
        <f t="shared" ref="U29:U30" si="9">IF(EQ(SUM(G29*$G$36,I29*$I$36,K29*$K$36,M29*$M$36,O29*$O$36),0),"N",(IF(G29*$G$36&gt;0,IF(ISNUMBER(H29),H29,0),0) + IF(I29*$I$36&gt;0,IF(ISNUMBER(J29),J29,0),0) + IF(K29*$K$36&gt;0,IF(ISNUMBER(L29),L29,0),0) + IF(M29*$M$36&gt;0,IF(ISNUMBER(N29),N29,0),0) + IF(O29*$O$36&gt;0,IF(ISNUMBER(P29),P29,0),0))/SUM(IF(G29*$G$36&gt;0,1,0),IF(I29*$I$36&gt;0,1,0),IF(K29*$K$36&gt;0,1,0),IF(M29*$M$36&gt;0,1,0),IF(O29*$O$36&gt;0,1,0)))</f>
        <v>0</v>
      </c>
      <c r="X29" s="56"/>
      <c r="Y29" s="56"/>
      <c r="Z29" s="56"/>
      <c r="AA29" s="56"/>
      <c r="AB29" s="5"/>
      <c r="AC29" s="5"/>
      <c r="AD29" s="5"/>
      <c r="AE29" s="5"/>
    </row>
    <row r="30" ht="15.75" customHeight="1">
      <c r="A30" s="80" t="str">
        <f>Language!C42</f>
        <v>Calidad de la contribución técnica y/o científica del proyecto. Calidad de la solución/producto en desarrollo/obtenido</v>
      </c>
      <c r="B30" s="81"/>
      <c r="C30" s="81"/>
      <c r="D30" s="81"/>
      <c r="E30" s="81"/>
      <c r="F30" s="82"/>
      <c r="G30" s="89">
        <v>0.0</v>
      </c>
      <c r="H30" s="63" t="s">
        <v>9</v>
      </c>
      <c r="I30" s="62">
        <v>2.0</v>
      </c>
      <c r="J30" s="48" t="s">
        <v>9</v>
      </c>
      <c r="K30" s="62">
        <v>2.0</v>
      </c>
      <c r="L30" s="48" t="s">
        <v>9</v>
      </c>
      <c r="M30" s="62">
        <v>2.0</v>
      </c>
      <c r="N30" s="48" t="s">
        <v>9</v>
      </c>
      <c r="O30" s="62">
        <v>1.0</v>
      </c>
      <c r="P30" s="64" t="s">
        <v>9</v>
      </c>
      <c r="Q30" s="83" t="str">
        <f t="shared" si="7"/>
        <v>D</v>
      </c>
      <c r="R30" s="82"/>
      <c r="S30" s="84">
        <f t="shared" si="8"/>
        <v>0.1158424908</v>
      </c>
      <c r="T30" s="85"/>
      <c r="U30" s="55">
        <f t="shared" si="9"/>
        <v>0</v>
      </c>
      <c r="X30" s="56"/>
      <c r="Y30" s="56"/>
      <c r="Z30" s="56"/>
      <c r="AA30" s="56"/>
      <c r="AB30" s="5"/>
      <c r="AC30" s="5"/>
      <c r="AD30" s="5"/>
      <c r="AE30" s="5"/>
    </row>
    <row r="31" ht="15.75" customHeight="1">
      <c r="A31" s="90" t="str">
        <f>Language!C43</f>
        <v>Grado de innovación de la solución presentada</v>
      </c>
      <c r="B31" s="91"/>
      <c r="C31" s="91"/>
      <c r="D31" s="91"/>
      <c r="E31" s="91"/>
      <c r="F31" s="92"/>
      <c r="G31" s="89">
        <v>0.0</v>
      </c>
      <c r="H31" s="63" t="s">
        <v>9</v>
      </c>
      <c r="I31" s="62">
        <v>1.0</v>
      </c>
      <c r="J31" s="48" t="s">
        <v>9</v>
      </c>
      <c r="K31" s="62">
        <v>1.0</v>
      </c>
      <c r="L31" s="48" t="s">
        <v>9</v>
      </c>
      <c r="M31" s="62">
        <v>1.0</v>
      </c>
      <c r="N31" s="48" t="s">
        <v>9</v>
      </c>
      <c r="O31" s="62">
        <v>1.0</v>
      </c>
      <c r="P31" s="64" t="s">
        <v>9</v>
      </c>
      <c r="Q31" s="83" t="str">
        <f t="shared" si="7"/>
        <v>D</v>
      </c>
      <c r="R31" s="82"/>
      <c r="S31" s="84">
        <f t="shared" si="8"/>
        <v>0.05792124542</v>
      </c>
      <c r="T31" s="85"/>
      <c r="U31" s="55">
        <f>IF(EQ(SUM(G31*$G$36,I31*$I$36,K31*$K$36,M31*$M$36,O31*$O$36),0),"N",(IF(G31*$G$36&gt;0,IF(ISNUMBER(H31),H31,0),0) + IF(I31*$I$36&gt;0,IF(ISNUMBER(J31),J31,0),0) + IF(K31*$K$36&gt;0,IF(ISNUMBER(L31),L31,0),0) + IF(M31*$M$36&gt;0,IF(ISNUMBER(#REF!),#REF!,0),0) + IF(O31*$O$36&gt;0,IF(ISNUMBER(P31),P31,0),0))/SUM(IF(G31*$G$36&gt;0,1,0),IF(I31*$I$36&gt;0,1,0),IF(K31*$K$36&gt;0,1,0),IF(M31*$M$36&gt;0,1,0),IF(O31*$O$36&gt;0,1,0)))</f>
        <v>0</v>
      </c>
      <c r="X31" s="56"/>
      <c r="Y31" s="56"/>
      <c r="Z31" s="56"/>
      <c r="AA31" s="56"/>
      <c r="AB31" s="5"/>
      <c r="AC31" s="5"/>
      <c r="AD31" s="5"/>
      <c r="AE31" s="5"/>
    </row>
    <row r="32" ht="15.75" customHeight="1">
      <c r="A32" s="90" t="str">
        <f>Language!C44</f>
        <v>Conclusiones y discusión de los resultados</v>
      </c>
      <c r="B32" s="91"/>
      <c r="C32" s="91"/>
      <c r="D32" s="91"/>
      <c r="E32" s="91"/>
      <c r="F32" s="92"/>
      <c r="G32" s="93">
        <v>0.0</v>
      </c>
      <c r="H32" s="69" t="s">
        <v>9</v>
      </c>
      <c r="I32" s="68">
        <v>0.0</v>
      </c>
      <c r="J32" s="69" t="s">
        <v>9</v>
      </c>
      <c r="K32" s="68">
        <v>1.0</v>
      </c>
      <c r="L32" s="48" t="s">
        <v>9</v>
      </c>
      <c r="M32" s="68">
        <v>2.0</v>
      </c>
      <c r="N32" s="48" t="s">
        <v>9</v>
      </c>
      <c r="O32" s="68">
        <v>1.0</v>
      </c>
      <c r="P32" s="70" t="s">
        <v>9</v>
      </c>
      <c r="Q32" s="94" t="str">
        <f t="shared" si="7"/>
        <v>D</v>
      </c>
      <c r="R32" s="92"/>
      <c r="S32" s="73">
        <f t="shared" si="8"/>
        <v>0.05654761905</v>
      </c>
      <c r="T32" s="74"/>
      <c r="U32" s="55">
        <f>IF(EQ(SUM(G32*$G$36,I32*$I$36,K32*$K$36,M32*$M$36,O32*$O$36),0),"N",(IF(G32*$G$36&gt;0,IF(ISNUMBER(H32),H32,0),0) + IF(I32*$I$36&gt;0,IF(ISNUMBER(J32),J32,0),0) + IF(K32*$K$36&gt;0,IF(ISNUMBER(L32),L32,0),0) + IF(M32*$M$36&gt;0,IF(ISNUMBER(N31),N31,0),0) + IF(O32*$O$36&gt;0,IF(ISNUMBER(P32),P32,0),0))/SUM(IF(G32*$G$36&gt;0,1,0),IF(I32*$I$36&gt;0,1,0),IF(K32*$K$36&gt;0,1,0),IF(M32*$M$36&gt;0,1,0),IF(O32*$O$36&gt;0,1,0)))</f>
        <v>0</v>
      </c>
      <c r="X32" s="56"/>
      <c r="Y32" s="56"/>
      <c r="Z32" s="56"/>
      <c r="AA32" s="56"/>
      <c r="AB32" s="57"/>
      <c r="AC32" s="57"/>
      <c r="AD32" s="57"/>
      <c r="AE32" s="57"/>
    </row>
    <row r="33" ht="15.75" customHeight="1">
      <c r="A33" s="38" t="str">
        <f>Language!C45</f>
        <v>Aspectos formales de la memoria</v>
      </c>
      <c r="B33" s="27"/>
      <c r="C33" s="27"/>
      <c r="D33" s="27"/>
      <c r="E33" s="27"/>
      <c r="F33" s="27"/>
      <c r="G33" s="27"/>
      <c r="H33" s="27"/>
      <c r="I33" s="27"/>
      <c r="J33" s="27"/>
      <c r="K33" s="27"/>
      <c r="L33" s="27"/>
      <c r="M33" s="27"/>
      <c r="N33" s="27"/>
      <c r="O33" s="27"/>
      <c r="P33" s="27"/>
      <c r="Q33" s="27"/>
      <c r="R33" s="26"/>
      <c r="S33" s="87"/>
      <c r="T33" s="95"/>
      <c r="U33" s="96"/>
      <c r="X33" s="56"/>
      <c r="Y33" s="56"/>
      <c r="Z33" s="56"/>
      <c r="AA33" s="56"/>
      <c r="AB33" s="5"/>
      <c r="AC33" s="5"/>
      <c r="AD33" s="5"/>
      <c r="AE33" s="5"/>
    </row>
    <row r="34" ht="15.75" customHeight="1">
      <c r="A34" s="97" t="str">
        <f>Language!C46</f>
        <v>Redacción adecuada, utilización flexible de un lenguaje inclusivo, y organización clara y correcta del contenido</v>
      </c>
      <c r="B34" s="98"/>
      <c r="C34" s="98"/>
      <c r="D34" s="98"/>
      <c r="E34" s="98"/>
      <c r="F34" s="52"/>
      <c r="G34" s="47">
        <v>2.0</v>
      </c>
      <c r="H34" s="48" t="s">
        <v>9</v>
      </c>
      <c r="I34" s="49">
        <v>2.0</v>
      </c>
      <c r="J34" s="48" t="s">
        <v>9</v>
      </c>
      <c r="K34" s="49">
        <v>2.0</v>
      </c>
      <c r="L34" s="48" t="s">
        <v>9</v>
      </c>
      <c r="M34" s="49">
        <v>2.0</v>
      </c>
      <c r="N34" s="48" t="s">
        <v>9</v>
      </c>
      <c r="O34" s="77">
        <v>1.0</v>
      </c>
      <c r="P34" s="99" t="s">
        <v>9</v>
      </c>
      <c r="Q34" s="51" t="str">
        <f t="shared" ref="Q34:Q35" si="10">IF(ISNUMBER(U34),IF(U34&gt;=9,"A",IF(U34&gt;=7,"B",IF(U34&gt;=5,"C+",IF(U34&gt;=3,"C-","D")))),"N")</f>
        <v>D</v>
      </c>
      <c r="R34" s="52"/>
      <c r="S34" s="65">
        <f t="shared" ref="S34:S35" si="11">G34/SUM(G$18:G$35)*G$36+I34/SUM(I$18:I$35)*I$36+K34/SUM(K$18:K$35)*K$36+M34/SUM(M$18:M$35)*M$36+O34/SUM(O$18:O$35)*O$36</f>
        <v>0.1515567766</v>
      </c>
      <c r="T34" s="66">
        <f>SUM(S34:S35)</f>
        <v>0.2273351648</v>
      </c>
      <c r="U34" s="55">
        <f t="shared" ref="U34:U35" si="12">IF(EQ(SUM(G34*$G$36,I34*$I$36,K34*$K$36,M34*$M$36,O34*$O$36),0),"N",(IF(G34*$G$36&gt;0,IF(ISNUMBER(H34),H34,0),0) + IF(I34*$I$36&gt;0,IF(ISNUMBER(J34),J34,0),0) + IF(K34*$K$36&gt;0,IF(ISNUMBER(L34),L34,0),0) + IF(M34*$M$36&gt;0,IF(ISNUMBER(N34),N34,0),0) + IF(O34*$O$36&gt;0,IF(ISNUMBER(P34),P34,0),0))/SUM(IF(G34*$G$36&gt;0,1,0),IF(I34*$I$36&gt;0,1,0),IF(K34*$K$36&gt;0,1,0),IF(M34*$M$36&gt;0,1,0),IF(O34*$O$36&gt;0,1,0)))</f>
        <v>0</v>
      </c>
      <c r="X34" s="56"/>
      <c r="Y34" s="56"/>
      <c r="Z34" s="56"/>
      <c r="AA34" s="56"/>
      <c r="AB34" s="5"/>
      <c r="AC34" s="5"/>
      <c r="AD34" s="5"/>
      <c r="AE34" s="5"/>
    </row>
    <row r="35" ht="15.75" customHeight="1">
      <c r="A35" s="67" t="str">
        <f>Language!C47</f>
        <v>Fuentes de información y referencias bibliográficas</v>
      </c>
      <c r="B35" s="21"/>
      <c r="C35" s="21"/>
      <c r="D35" s="21"/>
      <c r="E35" s="21"/>
      <c r="F35" s="23"/>
      <c r="G35" s="86">
        <v>1.0</v>
      </c>
      <c r="H35" s="48" t="s">
        <v>9</v>
      </c>
      <c r="I35" s="68">
        <v>1.0</v>
      </c>
      <c r="J35" s="48" t="s">
        <v>9</v>
      </c>
      <c r="K35" s="68">
        <v>1.0</v>
      </c>
      <c r="L35" s="48" t="s">
        <v>9</v>
      </c>
      <c r="M35" s="68">
        <v>1.0</v>
      </c>
      <c r="N35" s="48" t="s">
        <v>9</v>
      </c>
      <c r="O35" s="68">
        <v>1.0</v>
      </c>
      <c r="P35" s="100" t="s">
        <v>9</v>
      </c>
      <c r="Q35" s="71" t="str">
        <f t="shared" si="10"/>
        <v>D</v>
      </c>
      <c r="R35" s="72"/>
      <c r="S35" s="73">
        <f t="shared" si="11"/>
        <v>0.07577838828</v>
      </c>
      <c r="T35" s="74"/>
      <c r="U35" s="55">
        <f t="shared" si="12"/>
        <v>0</v>
      </c>
      <c r="X35" s="56"/>
      <c r="Y35" s="56"/>
      <c r="Z35" s="56"/>
      <c r="AA35" s="56"/>
      <c r="AB35" s="5"/>
      <c r="AC35" s="5"/>
      <c r="AD35" s="5"/>
      <c r="AE35" s="5"/>
    </row>
    <row r="36" ht="15.75" customHeight="1">
      <c r="A36" s="101" t="str">
        <f>Language!C51</f>
        <v>% PEC en nota final del tutor</v>
      </c>
      <c r="B36" s="33"/>
      <c r="C36" s="33"/>
      <c r="D36" s="33"/>
      <c r="E36" s="33"/>
      <c r="F36" s="33"/>
      <c r="G36" s="102">
        <v>0.25</v>
      </c>
      <c r="H36" s="26"/>
      <c r="I36" s="102">
        <v>0.25</v>
      </c>
      <c r="J36" s="26"/>
      <c r="K36" s="102">
        <v>0.25</v>
      </c>
      <c r="L36" s="26"/>
      <c r="M36" s="102">
        <v>0.25</v>
      </c>
      <c r="N36" s="26"/>
      <c r="O36" s="102">
        <v>0.0</v>
      </c>
      <c r="P36" s="26"/>
      <c r="Q36" s="103">
        <f>G36+I36+K36+M36+O36</f>
        <v>1</v>
      </c>
      <c r="R36" s="34"/>
      <c r="S36" s="104">
        <f>SUM(S18:S35)</f>
        <v>1</v>
      </c>
      <c r="T36" s="23"/>
      <c r="U36" s="43"/>
      <c r="X36" s="43"/>
      <c r="Y36" s="43"/>
      <c r="Z36" s="43"/>
      <c r="AA36" s="43"/>
      <c r="AB36" s="43"/>
      <c r="AC36" s="43"/>
      <c r="AD36" s="43"/>
      <c r="AE36" s="43"/>
    </row>
    <row r="37" ht="15.75" customHeight="1">
      <c r="A37" s="105" t="str">
        <f>Language!C27</f>
        <v>Final</v>
      </c>
      <c r="B37" s="27"/>
      <c r="C37" s="27"/>
      <c r="D37" s="27"/>
      <c r="E37" s="27"/>
      <c r="F37" s="26"/>
      <c r="G37" s="106">
        <f>ROUND(SUMPRODUCT(G18:G35,H18:H35)/SUM(G18:G35),1)</f>
        <v>0</v>
      </c>
      <c r="H37" s="26"/>
      <c r="I37" s="106">
        <f>ROUND(SUMPRODUCT(I18:I35,J18:J35)/SUM(I18:I35),1)</f>
        <v>0</v>
      </c>
      <c r="J37" s="26"/>
      <c r="K37" s="106">
        <f>ROUND(SUMPRODUCT(K18:K35,L18:L35)/SUM(K18:K35),1)</f>
        <v>0</v>
      </c>
      <c r="L37" s="26"/>
      <c r="M37" s="106">
        <f>ROUND(SUMPRODUCT(M18:M35,N18:N35)/SUM(M18:M35),1)</f>
        <v>0</v>
      </c>
      <c r="N37" s="26"/>
      <c r="O37" s="106">
        <f>ROUND(SUMPRODUCT(O18:O35,P18:P35)/SUM(O18:O35),1)</f>
        <v>0</v>
      </c>
      <c r="P37" s="26"/>
      <c r="Q37" s="106">
        <f>ROUND(IF(ISNUMBER(G37),G37,0)*G36+IF(ISNUMBER(I37),I37,0)*I36+IF(ISNUMBER(K37),K37,0)*K36+IF(ISNUMBER(M37),M37,0)*M36+IF(ISNUMBER(O37),O37,0)*O36,1)</f>
        <v>0</v>
      </c>
      <c r="R37" s="26"/>
      <c r="S37" s="5"/>
      <c r="T37" s="5"/>
      <c r="U37" s="5"/>
      <c r="V37" s="5"/>
      <c r="W37" s="56"/>
      <c r="X37" s="56"/>
      <c r="Y37" s="56"/>
      <c r="Z37" s="56"/>
      <c r="AA37" s="56"/>
      <c r="AB37" s="5"/>
      <c r="AC37" s="5"/>
      <c r="AD37" s="5"/>
      <c r="AE37" s="5"/>
    </row>
    <row r="38" ht="15.75" customHeight="1">
      <c r="A38" s="107"/>
      <c r="G38" s="108" t="str">
        <f>IF(G37&gt;=9,"A",IF(G37&gt;=7,"B",IF(G37&gt;=5,"C+",IF(G37&gt;=3,"C-","D"))))</f>
        <v>D</v>
      </c>
      <c r="H38" s="26"/>
      <c r="I38" s="109" t="str">
        <f>IF(I37&gt;=9,"A",IF(I37&gt;=7,"B",IF(I37&gt;=5,"C+",IF(I37&gt;=3,"C-","D"))))</f>
        <v>D</v>
      </c>
      <c r="J38" s="27"/>
      <c r="K38" s="109" t="str">
        <f>IF(K37&gt;=9,"A",IF(K37&gt;=7,"B",IF(K37&gt;=5,"C+",IF(K37&gt;=3,"C-","D"))))</f>
        <v>D</v>
      </c>
      <c r="L38" s="27"/>
      <c r="M38" s="109" t="str">
        <f>IF(M37&gt;=9,"A",IF(M37&gt;=7,"B",IF(M37&gt;=5,"C+",IF(M37&gt;=3,"C-","D"))))</f>
        <v>D</v>
      </c>
      <c r="N38" s="27"/>
      <c r="O38" s="109" t="str">
        <f>IF(O37&gt;=9,"A",IF(O37&gt;=7,"B",IF(O37&gt;=5,"C+",IF(O37&gt;=3,"C-","D"))))</f>
        <v>D</v>
      </c>
      <c r="P38" s="26"/>
      <c r="Q38" s="109" t="str">
        <f>IF(Q37&gt;=9,"A",IF(Q37&gt;=7,"B",IF(Q37&gt;=5,"C+",IF(Q37&gt;=3,"C-","D"))))</f>
        <v>D</v>
      </c>
      <c r="R38" s="26"/>
      <c r="S38" s="5"/>
      <c r="T38" s="5"/>
      <c r="U38" s="5"/>
      <c r="V38" s="5"/>
      <c r="W38" s="5"/>
      <c r="X38" s="5"/>
      <c r="Y38" s="5"/>
      <c r="Z38" s="5"/>
      <c r="AA38" s="5"/>
      <c r="AB38" s="5"/>
      <c r="AC38" s="5"/>
      <c r="AD38" s="5"/>
      <c r="AE38" s="5"/>
    </row>
    <row r="39" ht="15.75" customHeight="1">
      <c r="A39" s="110"/>
      <c r="B39" s="110"/>
      <c r="C39" s="110"/>
      <c r="D39" s="110"/>
      <c r="E39" s="110"/>
      <c r="F39" s="110"/>
      <c r="G39" s="110"/>
      <c r="H39" s="110"/>
      <c r="I39" s="110"/>
      <c r="J39" s="110"/>
      <c r="K39" s="110"/>
      <c r="L39" s="110"/>
      <c r="M39" s="110"/>
      <c r="N39" s="110"/>
      <c r="O39" s="110"/>
      <c r="P39" s="110"/>
      <c r="Q39" s="111"/>
      <c r="R39" s="111"/>
      <c r="S39" s="5"/>
      <c r="T39" s="5"/>
      <c r="U39" s="5"/>
      <c r="V39" s="112"/>
      <c r="W39" s="5"/>
      <c r="X39" s="5"/>
      <c r="Y39" s="5"/>
      <c r="Z39" s="5"/>
      <c r="AA39" s="5"/>
      <c r="AB39" s="5"/>
      <c r="AC39" s="5"/>
      <c r="AD39" s="5"/>
      <c r="AE39" s="5"/>
    </row>
    <row r="40" ht="15.75" customHeight="1">
      <c r="A40" s="113" t="str">
        <f>Language!C54</f>
        <v>PEC1. Observaciones y recomendaciones:</v>
      </c>
      <c r="B40" s="33"/>
      <c r="C40" s="33"/>
      <c r="D40" s="33"/>
      <c r="E40" s="33"/>
      <c r="F40" s="33"/>
      <c r="G40" s="33"/>
      <c r="H40" s="33"/>
      <c r="I40" s="33"/>
      <c r="J40" s="33"/>
      <c r="K40" s="33"/>
      <c r="L40" s="33"/>
      <c r="M40" s="33"/>
      <c r="N40" s="33"/>
      <c r="O40" s="33"/>
      <c r="P40" s="33"/>
      <c r="Q40" s="33"/>
      <c r="R40" s="34"/>
      <c r="S40" s="5"/>
      <c r="T40" s="5"/>
      <c r="U40" s="5"/>
      <c r="V40" s="5"/>
      <c r="W40" s="5"/>
      <c r="X40" s="5"/>
      <c r="Y40" s="5"/>
      <c r="Z40" s="5"/>
      <c r="AA40" s="5"/>
      <c r="AB40" s="5"/>
      <c r="AC40" s="5"/>
      <c r="AD40" s="5"/>
      <c r="AE40" s="5"/>
    </row>
    <row r="41" ht="56.25" customHeight="1">
      <c r="A41" s="114"/>
      <c r="B41" s="21"/>
      <c r="C41" s="21"/>
      <c r="D41" s="21"/>
      <c r="E41" s="21"/>
      <c r="F41" s="21"/>
      <c r="G41" s="21"/>
      <c r="H41" s="21"/>
      <c r="I41" s="21"/>
      <c r="J41" s="21"/>
      <c r="K41" s="21"/>
      <c r="L41" s="21"/>
      <c r="M41" s="21"/>
      <c r="N41" s="21"/>
      <c r="O41" s="21"/>
      <c r="P41" s="21"/>
      <c r="Q41" s="21"/>
      <c r="R41" s="23"/>
      <c r="S41" s="5"/>
      <c r="T41" s="5"/>
      <c r="U41" s="5"/>
      <c r="V41" s="112"/>
      <c r="W41" s="5"/>
      <c r="X41" s="5"/>
      <c r="Y41" s="5"/>
      <c r="Z41" s="5"/>
      <c r="AA41" s="5"/>
      <c r="AB41" s="5"/>
      <c r="AC41" s="5"/>
      <c r="AD41" s="5"/>
      <c r="AE41" s="5"/>
    </row>
    <row r="42" ht="15.75" customHeight="1">
      <c r="A42" s="113" t="str">
        <f>Language!C55</f>
        <v>PEC2. Observaciones y recomendaciones:</v>
      </c>
      <c r="B42" s="33"/>
      <c r="C42" s="33"/>
      <c r="D42" s="33"/>
      <c r="E42" s="33"/>
      <c r="F42" s="33"/>
      <c r="G42" s="33"/>
      <c r="H42" s="33"/>
      <c r="I42" s="33"/>
      <c r="J42" s="33"/>
      <c r="K42" s="33"/>
      <c r="L42" s="33"/>
      <c r="M42" s="33"/>
      <c r="N42" s="33"/>
      <c r="O42" s="33"/>
      <c r="P42" s="33"/>
      <c r="Q42" s="33"/>
      <c r="R42" s="34"/>
      <c r="S42" s="5"/>
      <c r="T42" s="5"/>
      <c r="U42" s="5"/>
      <c r="V42" s="5"/>
      <c r="W42" s="5"/>
      <c r="X42" s="5"/>
      <c r="Y42" s="5"/>
      <c r="Z42" s="5"/>
      <c r="AA42" s="5"/>
      <c r="AB42" s="5"/>
      <c r="AC42" s="5"/>
      <c r="AD42" s="5"/>
      <c r="AE42" s="5"/>
    </row>
    <row r="43" ht="56.25" customHeight="1">
      <c r="A43" s="114"/>
      <c r="B43" s="21"/>
      <c r="C43" s="21"/>
      <c r="D43" s="21"/>
      <c r="E43" s="21"/>
      <c r="F43" s="21"/>
      <c r="G43" s="21"/>
      <c r="H43" s="21"/>
      <c r="I43" s="21"/>
      <c r="J43" s="21"/>
      <c r="K43" s="21"/>
      <c r="L43" s="21"/>
      <c r="M43" s="21"/>
      <c r="N43" s="21"/>
      <c r="O43" s="21"/>
      <c r="P43" s="21"/>
      <c r="Q43" s="21"/>
      <c r="R43" s="23"/>
      <c r="S43" s="5"/>
      <c r="T43" s="5"/>
      <c r="U43" s="5"/>
      <c r="V43" s="5"/>
      <c r="W43" s="5"/>
      <c r="X43" s="5"/>
      <c r="Y43" s="5"/>
      <c r="Z43" s="5"/>
      <c r="AA43" s="5"/>
      <c r="AB43" s="5"/>
      <c r="AC43" s="5"/>
      <c r="AD43" s="5"/>
      <c r="AE43" s="5"/>
    </row>
    <row r="44" ht="15.75" customHeight="1">
      <c r="A44" s="113" t="str">
        <f>Language!C56</f>
        <v>PEC3. Observaciones y recomendaciones:</v>
      </c>
      <c r="B44" s="33"/>
      <c r="C44" s="33"/>
      <c r="D44" s="33"/>
      <c r="E44" s="33"/>
      <c r="F44" s="33"/>
      <c r="G44" s="33"/>
      <c r="H44" s="33"/>
      <c r="I44" s="33"/>
      <c r="J44" s="33"/>
      <c r="K44" s="33"/>
      <c r="L44" s="33"/>
      <c r="M44" s="33"/>
      <c r="N44" s="33"/>
      <c r="O44" s="33"/>
      <c r="P44" s="33"/>
      <c r="Q44" s="33"/>
      <c r="R44" s="34"/>
      <c r="S44" s="5"/>
      <c r="T44" s="5"/>
      <c r="U44" s="5"/>
      <c r="V44" s="5"/>
      <c r="W44" s="5"/>
      <c r="X44" s="5"/>
      <c r="Y44" s="5"/>
      <c r="Z44" s="5"/>
      <c r="AA44" s="5"/>
      <c r="AB44" s="5"/>
      <c r="AC44" s="5"/>
      <c r="AD44" s="5"/>
      <c r="AE44" s="5"/>
    </row>
    <row r="45" ht="84.0" customHeight="1">
      <c r="A45" s="114"/>
      <c r="B45" s="21"/>
      <c r="C45" s="21"/>
      <c r="D45" s="21"/>
      <c r="E45" s="21"/>
      <c r="F45" s="21"/>
      <c r="G45" s="21"/>
      <c r="H45" s="21"/>
      <c r="I45" s="21"/>
      <c r="J45" s="21"/>
      <c r="K45" s="21"/>
      <c r="L45" s="21"/>
      <c r="M45" s="21"/>
      <c r="N45" s="21"/>
      <c r="O45" s="21"/>
      <c r="P45" s="21"/>
      <c r="Q45" s="21"/>
      <c r="R45" s="23"/>
      <c r="S45" s="5"/>
      <c r="T45" s="5"/>
      <c r="U45" s="5"/>
      <c r="V45" s="5"/>
      <c r="W45" s="5"/>
      <c r="X45" s="5"/>
      <c r="Y45" s="5"/>
      <c r="Z45" s="5"/>
      <c r="AA45" s="5"/>
      <c r="AB45" s="5"/>
      <c r="AC45" s="5"/>
      <c r="AD45" s="5"/>
      <c r="AE45" s="5"/>
    </row>
    <row r="46" ht="15.75" customHeight="1">
      <c r="A46" s="113" t="str">
        <f>Language!C57</f>
        <v>PEC4. Observaciones y recomendaciones:</v>
      </c>
      <c r="B46" s="33"/>
      <c r="C46" s="33"/>
      <c r="D46" s="33"/>
      <c r="E46" s="33"/>
      <c r="F46" s="33"/>
      <c r="G46" s="33"/>
      <c r="H46" s="33"/>
      <c r="I46" s="33"/>
      <c r="J46" s="33"/>
      <c r="K46" s="33"/>
      <c r="L46" s="33"/>
      <c r="M46" s="33"/>
      <c r="N46" s="33"/>
      <c r="O46" s="33"/>
      <c r="P46" s="33"/>
      <c r="Q46" s="33"/>
      <c r="R46" s="34"/>
      <c r="S46" s="5"/>
      <c r="T46" s="5"/>
      <c r="U46" s="5"/>
      <c r="V46" s="5"/>
      <c r="W46" s="5"/>
      <c r="X46" s="5"/>
      <c r="Y46" s="5"/>
      <c r="Z46" s="5"/>
      <c r="AA46" s="5"/>
      <c r="AB46" s="5"/>
      <c r="AC46" s="5"/>
      <c r="AD46" s="5"/>
      <c r="AE46" s="5"/>
    </row>
    <row r="47" ht="68.25" customHeight="1">
      <c r="A47" s="114"/>
      <c r="B47" s="21"/>
      <c r="C47" s="21"/>
      <c r="D47" s="21"/>
      <c r="E47" s="21"/>
      <c r="F47" s="21"/>
      <c r="G47" s="21"/>
      <c r="H47" s="21"/>
      <c r="I47" s="21"/>
      <c r="J47" s="21"/>
      <c r="K47" s="21"/>
      <c r="L47" s="21"/>
      <c r="M47" s="21"/>
      <c r="N47" s="21"/>
      <c r="O47" s="21"/>
      <c r="P47" s="21"/>
      <c r="Q47" s="21"/>
      <c r="R47" s="23"/>
      <c r="S47" s="5"/>
      <c r="T47" s="5"/>
      <c r="U47" s="5"/>
      <c r="V47" s="5"/>
      <c r="W47" s="5"/>
      <c r="X47" s="5"/>
      <c r="Y47" s="5"/>
      <c r="Z47" s="5"/>
      <c r="AA47" s="5"/>
      <c r="AB47" s="5"/>
      <c r="AC47" s="5"/>
      <c r="AD47" s="5"/>
      <c r="AE47" s="5"/>
    </row>
    <row r="48" ht="15.75" customHeight="1">
      <c r="A48" s="113" t="str">
        <f>Language!C58</f>
        <v>PEC5. Observaciones y recomendaciones:</v>
      </c>
      <c r="B48" s="33"/>
      <c r="C48" s="33"/>
      <c r="D48" s="33"/>
      <c r="E48" s="33"/>
      <c r="F48" s="33"/>
      <c r="G48" s="33"/>
      <c r="H48" s="33"/>
      <c r="I48" s="33"/>
      <c r="J48" s="33"/>
      <c r="K48" s="33"/>
      <c r="L48" s="33"/>
      <c r="M48" s="33"/>
      <c r="N48" s="33"/>
      <c r="O48" s="33"/>
      <c r="P48" s="33"/>
      <c r="Q48" s="33"/>
      <c r="R48" s="34"/>
      <c r="S48" s="5"/>
      <c r="T48" s="5"/>
      <c r="U48" s="5"/>
      <c r="V48" s="5"/>
      <c r="W48" s="5"/>
      <c r="X48" s="5"/>
      <c r="Y48" s="5"/>
      <c r="Z48" s="5"/>
      <c r="AA48" s="5"/>
      <c r="AB48" s="5"/>
      <c r="AC48" s="5"/>
      <c r="AD48" s="5"/>
      <c r="AE48" s="5"/>
    </row>
    <row r="49" ht="56.25" customHeight="1">
      <c r="A49" s="114"/>
      <c r="B49" s="21"/>
      <c r="C49" s="21"/>
      <c r="D49" s="21"/>
      <c r="E49" s="21"/>
      <c r="F49" s="21"/>
      <c r="G49" s="21"/>
      <c r="H49" s="21"/>
      <c r="I49" s="21"/>
      <c r="J49" s="21"/>
      <c r="K49" s="21"/>
      <c r="L49" s="21"/>
      <c r="M49" s="21"/>
      <c r="N49" s="21"/>
      <c r="O49" s="21"/>
      <c r="P49" s="21"/>
      <c r="Q49" s="21"/>
      <c r="R49" s="23"/>
      <c r="S49" s="5"/>
      <c r="T49" s="5"/>
      <c r="U49" s="5"/>
      <c r="V49" s="5"/>
      <c r="W49" s="5"/>
      <c r="X49" s="5"/>
      <c r="Y49" s="5"/>
      <c r="Z49" s="5"/>
      <c r="AA49" s="5"/>
      <c r="AB49" s="5"/>
      <c r="AC49" s="5"/>
      <c r="AD49" s="5"/>
      <c r="AE49" s="5"/>
    </row>
    <row r="50" ht="15.75" customHeight="1">
      <c r="A50" s="5"/>
      <c r="B50" s="5"/>
      <c r="C50" s="5"/>
      <c r="D50" s="5"/>
      <c r="E50" s="5"/>
      <c r="F50" s="5"/>
      <c r="G50" s="112"/>
      <c r="H50" s="112"/>
      <c r="I50" s="112"/>
      <c r="J50" s="112"/>
      <c r="K50" s="112"/>
      <c r="L50" s="112"/>
      <c r="M50" s="112"/>
      <c r="N50" s="112"/>
      <c r="O50" s="112"/>
      <c r="P50" s="112"/>
      <c r="Q50" s="5"/>
      <c r="R50" s="5"/>
      <c r="S50" s="5"/>
      <c r="T50" s="5"/>
      <c r="U50" s="5"/>
      <c r="V50" s="5"/>
      <c r="W50" s="5"/>
      <c r="X50" s="5"/>
      <c r="Y50" s="5"/>
      <c r="Z50" s="5"/>
      <c r="AA50" s="5"/>
      <c r="AB50" s="5"/>
      <c r="AC50" s="5"/>
      <c r="AD50" s="5"/>
      <c r="AE50" s="5"/>
    </row>
    <row r="51" ht="15.75" customHeight="1">
      <c r="A51" s="5"/>
      <c r="B51" s="5"/>
      <c r="C51" s="5"/>
      <c r="D51" s="5"/>
      <c r="E51" s="5"/>
      <c r="F51" s="5"/>
      <c r="G51" s="112"/>
      <c r="H51" s="112"/>
      <c r="I51" s="112"/>
      <c r="J51" s="112"/>
      <c r="K51" s="112"/>
      <c r="L51" s="112"/>
      <c r="M51" s="112"/>
      <c r="N51" s="112"/>
      <c r="O51" s="112"/>
      <c r="P51" s="112"/>
      <c r="Q51" s="5"/>
      <c r="R51" s="5"/>
      <c r="S51" s="5"/>
      <c r="T51" s="5"/>
      <c r="U51" s="5"/>
      <c r="V51" s="5"/>
      <c r="W51" s="5"/>
      <c r="X51" s="5"/>
      <c r="Y51" s="5"/>
      <c r="Z51" s="5"/>
      <c r="AA51" s="5"/>
      <c r="AB51" s="5"/>
      <c r="AC51" s="5"/>
      <c r="AD51" s="5"/>
      <c r="AE51" s="5"/>
    </row>
    <row r="52" ht="15.75" customHeight="1">
      <c r="A52" s="5"/>
      <c r="B52" s="5"/>
      <c r="C52" s="5"/>
      <c r="D52" s="5"/>
      <c r="E52" s="5"/>
      <c r="F52" s="5"/>
      <c r="G52" s="112"/>
      <c r="H52" s="112"/>
      <c r="I52" s="112"/>
      <c r="J52" s="112"/>
      <c r="K52" s="112"/>
      <c r="L52" s="112"/>
      <c r="M52" s="112"/>
      <c r="N52" s="112"/>
      <c r="O52" s="112"/>
      <c r="P52" s="112"/>
      <c r="Q52" s="5"/>
      <c r="R52" s="5"/>
      <c r="S52" s="5"/>
      <c r="T52" s="5"/>
      <c r="U52" s="5"/>
      <c r="V52" s="5"/>
      <c r="W52" s="5"/>
      <c r="X52" s="5"/>
      <c r="Y52" s="5"/>
      <c r="Z52" s="5"/>
      <c r="AA52" s="5"/>
      <c r="AB52" s="5"/>
      <c r="AC52" s="5"/>
      <c r="AD52" s="5"/>
      <c r="AE52" s="5"/>
    </row>
    <row r="53" ht="15.75" customHeight="1">
      <c r="A53" s="5"/>
      <c r="B53" s="5"/>
      <c r="C53" s="5"/>
      <c r="D53" s="5"/>
      <c r="E53" s="5"/>
      <c r="F53" s="5"/>
      <c r="G53" s="112"/>
      <c r="H53" s="112"/>
      <c r="I53" s="112"/>
      <c r="J53" s="112"/>
      <c r="K53" s="112"/>
      <c r="L53" s="112"/>
      <c r="M53" s="112"/>
      <c r="N53" s="112"/>
      <c r="O53" s="112"/>
      <c r="P53" s="112"/>
      <c r="Q53" s="5"/>
      <c r="R53" s="5"/>
      <c r="S53" s="5"/>
      <c r="T53" s="5"/>
      <c r="U53" s="5"/>
      <c r="V53" s="5"/>
      <c r="W53" s="5"/>
      <c r="X53" s="5"/>
      <c r="Y53" s="5"/>
      <c r="Z53" s="5"/>
      <c r="AA53" s="5"/>
      <c r="AB53" s="5"/>
      <c r="AC53" s="5"/>
      <c r="AD53" s="5"/>
      <c r="AE53" s="5"/>
    </row>
    <row r="54" ht="15.75" customHeight="1">
      <c r="A54" s="5"/>
      <c r="B54" s="5"/>
      <c r="C54" s="5"/>
      <c r="D54" s="5"/>
      <c r="E54" s="5"/>
      <c r="F54" s="5"/>
      <c r="G54" s="112"/>
      <c r="H54" s="112"/>
      <c r="I54" s="112"/>
      <c r="J54" s="112"/>
      <c r="K54" s="112"/>
      <c r="L54" s="112"/>
      <c r="M54" s="112"/>
      <c r="N54" s="112"/>
      <c r="O54" s="112"/>
      <c r="P54" s="112"/>
      <c r="Q54" s="5"/>
      <c r="R54" s="5"/>
      <c r="S54" s="5"/>
      <c r="T54" s="5"/>
      <c r="U54" s="5"/>
      <c r="V54" s="5"/>
      <c r="W54" s="5"/>
      <c r="X54" s="5"/>
      <c r="Y54" s="5"/>
      <c r="Z54" s="5"/>
      <c r="AA54" s="5"/>
      <c r="AB54" s="5"/>
      <c r="AC54" s="5"/>
      <c r="AD54" s="5"/>
      <c r="AE54" s="5"/>
    </row>
    <row r="55" ht="15.75" customHeight="1">
      <c r="A55" s="5"/>
      <c r="B55" s="5"/>
      <c r="C55" s="5"/>
      <c r="D55" s="5"/>
      <c r="E55" s="5"/>
      <c r="F55" s="5"/>
      <c r="G55" s="112"/>
      <c r="H55" s="112"/>
      <c r="I55" s="112"/>
      <c r="J55" s="112"/>
      <c r="K55" s="112"/>
      <c r="L55" s="112"/>
      <c r="M55" s="112"/>
      <c r="N55" s="112"/>
      <c r="O55" s="112"/>
      <c r="P55" s="112"/>
      <c r="Q55" s="5"/>
      <c r="R55" s="5"/>
      <c r="S55" s="5"/>
      <c r="T55" s="5"/>
      <c r="U55" s="5"/>
      <c r="V55" s="5"/>
      <c r="W55" s="5"/>
      <c r="X55" s="5"/>
      <c r="Y55" s="5"/>
      <c r="Z55" s="5"/>
      <c r="AA55" s="5"/>
      <c r="AB55" s="5"/>
      <c r="AC55" s="5"/>
      <c r="AD55" s="5"/>
      <c r="AE55" s="5"/>
    </row>
    <row r="56" ht="15.75" customHeight="1">
      <c r="A56" s="5"/>
      <c r="B56" s="5"/>
      <c r="C56" s="5"/>
      <c r="D56" s="5"/>
      <c r="E56" s="5"/>
      <c r="F56" s="5"/>
      <c r="G56" s="112"/>
      <c r="H56" s="112"/>
      <c r="I56" s="112"/>
      <c r="J56" s="112"/>
      <c r="K56" s="112"/>
      <c r="L56" s="112"/>
      <c r="M56" s="112"/>
      <c r="N56" s="112"/>
      <c r="O56" s="112"/>
      <c r="P56" s="112"/>
      <c r="Q56" s="5"/>
      <c r="R56" s="5"/>
      <c r="S56" s="5"/>
      <c r="T56" s="5"/>
      <c r="U56" s="5"/>
      <c r="V56" s="5"/>
      <c r="W56" s="5"/>
      <c r="X56" s="5"/>
      <c r="Y56" s="5"/>
      <c r="Z56" s="5"/>
      <c r="AA56" s="5"/>
      <c r="AB56" s="5"/>
      <c r="AC56" s="5"/>
      <c r="AD56" s="5"/>
      <c r="AE56" s="5"/>
    </row>
    <row r="57" ht="15.75" customHeight="1">
      <c r="A57" s="5"/>
      <c r="B57" s="5"/>
      <c r="C57" s="5"/>
      <c r="D57" s="5"/>
      <c r="E57" s="5"/>
      <c r="F57" s="5"/>
      <c r="G57" s="112"/>
      <c r="H57" s="112"/>
      <c r="I57" s="112"/>
      <c r="J57" s="112"/>
      <c r="K57" s="112"/>
      <c r="L57" s="112"/>
      <c r="M57" s="112"/>
      <c r="N57" s="112"/>
      <c r="O57" s="112"/>
      <c r="P57" s="112"/>
      <c r="Q57" s="5"/>
      <c r="R57" s="5"/>
      <c r="S57" s="5"/>
      <c r="T57" s="5"/>
      <c r="U57" s="5"/>
      <c r="V57" s="5"/>
      <c r="W57" s="5"/>
      <c r="X57" s="5"/>
      <c r="Y57" s="5"/>
      <c r="Z57" s="5"/>
      <c r="AA57" s="5"/>
      <c r="AB57" s="5"/>
      <c r="AC57" s="5"/>
      <c r="AD57" s="5"/>
      <c r="AE57" s="5"/>
    </row>
    <row r="58" ht="15.75" customHeight="1">
      <c r="A58" s="5"/>
      <c r="B58" s="5"/>
      <c r="C58" s="5"/>
      <c r="D58" s="5"/>
      <c r="E58" s="5"/>
      <c r="F58" s="5"/>
      <c r="G58" s="112"/>
      <c r="H58" s="112"/>
      <c r="I58" s="112"/>
      <c r="J58" s="112"/>
      <c r="K58" s="112"/>
      <c r="L58" s="112"/>
      <c r="M58" s="112"/>
      <c r="N58" s="112"/>
      <c r="O58" s="112"/>
      <c r="P58" s="112"/>
      <c r="Q58" s="5"/>
      <c r="R58" s="5"/>
      <c r="S58" s="5"/>
      <c r="T58" s="5"/>
      <c r="U58" s="5"/>
      <c r="V58" s="5"/>
      <c r="W58" s="5"/>
      <c r="X58" s="5"/>
      <c r="Y58" s="5"/>
      <c r="Z58" s="5"/>
      <c r="AA58" s="5"/>
      <c r="AB58" s="5"/>
      <c r="AC58" s="5"/>
      <c r="AD58" s="5"/>
      <c r="AE58" s="5"/>
    </row>
    <row r="59" ht="15.75" customHeight="1">
      <c r="A59" s="5"/>
      <c r="B59" s="5"/>
      <c r="C59" s="5"/>
      <c r="D59" s="5"/>
      <c r="E59" s="5"/>
      <c r="F59" s="5"/>
      <c r="G59" s="112"/>
      <c r="H59" s="112"/>
      <c r="I59" s="112"/>
      <c r="J59" s="112"/>
      <c r="K59" s="112"/>
      <c r="L59" s="112"/>
      <c r="M59" s="112"/>
      <c r="N59" s="112"/>
      <c r="O59" s="112"/>
      <c r="P59" s="112"/>
      <c r="Q59" s="5"/>
      <c r="R59" s="5"/>
      <c r="S59" s="5"/>
      <c r="T59" s="5"/>
      <c r="U59" s="5"/>
      <c r="V59" s="5"/>
      <c r="W59" s="5"/>
      <c r="X59" s="5"/>
      <c r="Y59" s="5"/>
      <c r="Z59" s="5"/>
      <c r="AA59" s="5"/>
      <c r="AB59" s="5"/>
      <c r="AC59" s="5"/>
      <c r="AD59" s="5"/>
      <c r="AE59" s="5"/>
    </row>
    <row r="60" ht="15.75" customHeight="1">
      <c r="A60" s="5"/>
      <c r="B60" s="5"/>
      <c r="C60" s="5"/>
      <c r="D60" s="5"/>
      <c r="E60" s="5"/>
      <c r="F60" s="5"/>
      <c r="G60" s="112"/>
      <c r="H60" s="112"/>
      <c r="I60" s="112"/>
      <c r="J60" s="112"/>
      <c r="K60" s="112"/>
      <c r="L60" s="112"/>
      <c r="M60" s="112"/>
      <c r="N60" s="112"/>
      <c r="O60" s="112"/>
      <c r="P60" s="112"/>
      <c r="Q60" s="5"/>
      <c r="R60" s="5"/>
      <c r="S60" s="5"/>
      <c r="T60" s="5"/>
      <c r="U60" s="5"/>
      <c r="V60" s="5"/>
      <c r="W60" s="5"/>
      <c r="X60" s="5"/>
      <c r="Y60" s="5"/>
      <c r="Z60" s="5"/>
      <c r="AA60" s="5"/>
      <c r="AB60" s="5"/>
      <c r="AC60" s="5"/>
      <c r="AD60" s="5"/>
      <c r="AE60" s="5"/>
    </row>
    <row r="61" ht="15.75" customHeight="1">
      <c r="A61" s="5"/>
      <c r="B61" s="5"/>
      <c r="C61" s="5"/>
      <c r="D61" s="5"/>
      <c r="E61" s="5"/>
      <c r="F61" s="5"/>
      <c r="G61" s="112"/>
      <c r="H61" s="112"/>
      <c r="I61" s="112"/>
      <c r="J61" s="112"/>
      <c r="K61" s="112"/>
      <c r="L61" s="112"/>
      <c r="M61" s="112"/>
      <c r="N61" s="112"/>
      <c r="O61" s="112"/>
      <c r="P61" s="112"/>
      <c r="Q61" s="5"/>
      <c r="R61" s="5"/>
      <c r="S61" s="5"/>
      <c r="T61" s="5"/>
      <c r="U61" s="5"/>
      <c r="V61" s="5"/>
      <c r="W61" s="5"/>
      <c r="X61" s="5"/>
      <c r="Y61" s="5"/>
      <c r="Z61" s="5"/>
      <c r="AA61" s="5"/>
      <c r="AB61" s="5"/>
      <c r="AC61" s="5"/>
      <c r="AD61" s="5"/>
      <c r="AE61" s="5"/>
    </row>
    <row r="62" ht="15.75" customHeight="1">
      <c r="A62" s="5"/>
      <c r="B62" s="5"/>
      <c r="C62" s="5"/>
      <c r="D62" s="5"/>
      <c r="E62" s="5"/>
      <c r="F62" s="5"/>
      <c r="G62" s="112"/>
      <c r="H62" s="112"/>
      <c r="I62" s="112"/>
      <c r="J62" s="112"/>
      <c r="K62" s="112"/>
      <c r="L62" s="112"/>
      <c r="M62" s="112"/>
      <c r="N62" s="112"/>
      <c r="O62" s="112"/>
      <c r="P62" s="112"/>
      <c r="Q62" s="5"/>
      <c r="R62" s="5"/>
      <c r="S62" s="5"/>
      <c r="T62" s="5"/>
      <c r="U62" s="5"/>
      <c r="V62" s="5"/>
      <c r="W62" s="5"/>
      <c r="X62" s="5"/>
      <c r="Y62" s="5"/>
      <c r="Z62" s="5"/>
      <c r="AA62" s="5"/>
      <c r="AB62" s="5"/>
      <c r="AC62" s="5"/>
      <c r="AD62" s="5"/>
      <c r="AE62" s="5"/>
    </row>
    <row r="63" ht="15.75" customHeight="1">
      <c r="A63" s="5"/>
      <c r="B63" s="5"/>
      <c r="C63" s="5"/>
      <c r="D63" s="5"/>
      <c r="E63" s="5"/>
      <c r="F63" s="5"/>
      <c r="G63" s="112"/>
      <c r="H63" s="112"/>
      <c r="I63" s="112"/>
      <c r="J63" s="112"/>
      <c r="K63" s="112"/>
      <c r="L63" s="112"/>
      <c r="M63" s="112"/>
      <c r="N63" s="112"/>
      <c r="O63" s="112"/>
      <c r="P63" s="112"/>
      <c r="Q63" s="5"/>
      <c r="R63" s="5"/>
      <c r="S63" s="5"/>
      <c r="T63" s="5"/>
      <c r="U63" s="5"/>
      <c r="V63" s="5"/>
      <c r="W63" s="5"/>
      <c r="X63" s="5"/>
      <c r="Y63" s="5"/>
      <c r="Z63" s="5"/>
      <c r="AA63" s="5"/>
      <c r="AB63" s="5"/>
      <c r="AC63" s="5"/>
      <c r="AD63" s="5"/>
      <c r="AE63" s="5"/>
    </row>
    <row r="64" ht="15.75" customHeight="1">
      <c r="A64" s="5"/>
      <c r="B64" s="5"/>
      <c r="C64" s="5"/>
      <c r="D64" s="5"/>
      <c r="E64" s="5"/>
      <c r="F64" s="5"/>
      <c r="G64" s="112"/>
      <c r="H64" s="112"/>
      <c r="I64" s="112"/>
      <c r="J64" s="112"/>
      <c r="K64" s="112"/>
      <c r="L64" s="112"/>
      <c r="M64" s="112"/>
      <c r="N64" s="112"/>
      <c r="O64" s="112"/>
      <c r="P64" s="112"/>
      <c r="Q64" s="5"/>
      <c r="R64" s="5"/>
      <c r="S64" s="5"/>
      <c r="T64" s="5"/>
      <c r="U64" s="5"/>
      <c r="V64" s="5"/>
      <c r="W64" s="5"/>
      <c r="X64" s="5"/>
      <c r="Y64" s="5"/>
      <c r="Z64" s="5"/>
      <c r="AA64" s="5"/>
      <c r="AB64" s="5"/>
      <c r="AC64" s="5"/>
      <c r="AD64" s="5"/>
      <c r="AE64" s="5"/>
    </row>
    <row r="65" ht="15.75" customHeight="1">
      <c r="A65" s="5"/>
      <c r="B65" s="5"/>
      <c r="C65" s="5"/>
      <c r="D65" s="5"/>
      <c r="E65" s="5"/>
      <c r="F65" s="5"/>
      <c r="G65" s="112"/>
      <c r="H65" s="112"/>
      <c r="I65" s="112"/>
      <c r="J65" s="112"/>
      <c r="K65" s="112"/>
      <c r="L65" s="112"/>
      <c r="M65" s="112"/>
      <c r="N65" s="112"/>
      <c r="O65" s="112"/>
      <c r="P65" s="112"/>
      <c r="Q65" s="5"/>
      <c r="R65" s="5"/>
      <c r="S65" s="5"/>
      <c r="T65" s="5"/>
      <c r="U65" s="5"/>
      <c r="V65" s="5"/>
      <c r="W65" s="5"/>
      <c r="X65" s="5"/>
      <c r="Y65" s="5"/>
      <c r="Z65" s="5"/>
      <c r="AA65" s="5"/>
      <c r="AB65" s="5"/>
      <c r="AC65" s="5"/>
      <c r="AD65" s="5"/>
      <c r="AE65" s="5"/>
    </row>
    <row r="66" ht="15.75" customHeight="1">
      <c r="A66" s="5"/>
      <c r="B66" s="5"/>
      <c r="C66" s="5"/>
      <c r="D66" s="5"/>
      <c r="E66" s="5"/>
      <c r="F66" s="5"/>
      <c r="G66" s="112"/>
      <c r="H66" s="112"/>
      <c r="I66" s="112"/>
      <c r="J66" s="112"/>
      <c r="K66" s="112"/>
      <c r="L66" s="112"/>
      <c r="M66" s="112"/>
      <c r="N66" s="112"/>
      <c r="O66" s="112"/>
      <c r="P66" s="112"/>
      <c r="Q66" s="5"/>
      <c r="R66" s="5"/>
      <c r="S66" s="5"/>
      <c r="T66" s="5"/>
      <c r="U66" s="5"/>
      <c r="V66" s="5"/>
      <c r="W66" s="5"/>
      <c r="X66" s="5"/>
      <c r="Y66" s="5"/>
      <c r="Z66" s="5"/>
      <c r="AA66" s="5"/>
      <c r="AB66" s="5"/>
      <c r="AC66" s="5"/>
      <c r="AD66" s="5"/>
      <c r="AE66" s="5"/>
    </row>
    <row r="67" ht="15.75" customHeight="1">
      <c r="A67" s="5"/>
      <c r="B67" s="5"/>
      <c r="C67" s="5"/>
      <c r="D67" s="5"/>
      <c r="E67" s="5"/>
      <c r="F67" s="5"/>
      <c r="G67" s="112"/>
      <c r="H67" s="112"/>
      <c r="I67" s="112"/>
      <c r="J67" s="112"/>
      <c r="K67" s="112"/>
      <c r="L67" s="112"/>
      <c r="M67" s="112"/>
      <c r="N67" s="112"/>
      <c r="O67" s="112"/>
      <c r="P67" s="112"/>
      <c r="Q67" s="5"/>
      <c r="R67" s="5"/>
      <c r="S67" s="5"/>
      <c r="T67" s="5"/>
      <c r="U67" s="5"/>
      <c r="V67" s="5"/>
      <c r="W67" s="5"/>
      <c r="X67" s="5"/>
      <c r="Y67" s="5"/>
      <c r="Z67" s="5"/>
      <c r="AA67" s="5"/>
      <c r="AB67" s="5"/>
      <c r="AC67" s="5"/>
      <c r="AD67" s="5"/>
      <c r="AE67" s="5"/>
    </row>
    <row r="68" ht="15.75" customHeight="1">
      <c r="A68" s="5"/>
      <c r="B68" s="5"/>
      <c r="C68" s="5"/>
      <c r="D68" s="5"/>
      <c r="E68" s="5"/>
      <c r="F68" s="5"/>
      <c r="G68" s="112"/>
      <c r="H68" s="112"/>
      <c r="I68" s="112"/>
      <c r="J68" s="112"/>
      <c r="K68" s="112"/>
      <c r="L68" s="112"/>
      <c r="M68" s="112"/>
      <c r="N68" s="112"/>
      <c r="O68" s="112"/>
      <c r="P68" s="112"/>
      <c r="Q68" s="5"/>
      <c r="R68" s="5"/>
      <c r="S68" s="5"/>
      <c r="T68" s="5"/>
      <c r="U68" s="5"/>
      <c r="V68" s="5"/>
      <c r="W68" s="5"/>
      <c r="X68" s="5"/>
      <c r="Y68" s="5"/>
      <c r="Z68" s="5"/>
      <c r="AA68" s="5"/>
      <c r="AB68" s="5"/>
      <c r="AC68" s="5"/>
      <c r="AD68" s="5"/>
      <c r="AE68" s="5"/>
    </row>
    <row r="69" ht="15.75" customHeight="1">
      <c r="A69" s="5"/>
      <c r="B69" s="5"/>
      <c r="C69" s="5"/>
      <c r="D69" s="5"/>
      <c r="E69" s="5"/>
      <c r="F69" s="5"/>
      <c r="G69" s="112"/>
      <c r="H69" s="112"/>
      <c r="I69" s="112"/>
      <c r="J69" s="112"/>
      <c r="K69" s="112"/>
      <c r="L69" s="112"/>
      <c r="M69" s="112"/>
      <c r="N69" s="112"/>
      <c r="O69" s="112"/>
      <c r="P69" s="112"/>
      <c r="Q69" s="5"/>
      <c r="R69" s="5"/>
      <c r="S69" s="5"/>
      <c r="T69" s="5"/>
      <c r="U69" s="5"/>
      <c r="V69" s="5"/>
      <c r="W69" s="5"/>
      <c r="X69" s="5"/>
      <c r="Y69" s="5"/>
      <c r="Z69" s="5"/>
      <c r="AA69" s="5"/>
      <c r="AB69" s="5"/>
      <c r="AC69" s="5"/>
      <c r="AD69" s="5"/>
      <c r="AE69" s="5"/>
    </row>
    <row r="70" ht="15.75" customHeight="1">
      <c r="A70" s="5"/>
      <c r="B70" s="5"/>
      <c r="C70" s="5"/>
      <c r="D70" s="5"/>
      <c r="E70" s="5"/>
      <c r="F70" s="5"/>
      <c r="G70" s="112"/>
      <c r="H70" s="112"/>
      <c r="I70" s="112"/>
      <c r="J70" s="112"/>
      <c r="K70" s="112"/>
      <c r="L70" s="112"/>
      <c r="M70" s="112"/>
      <c r="N70" s="112"/>
      <c r="O70" s="112"/>
      <c r="P70" s="112"/>
      <c r="Q70" s="5"/>
      <c r="R70" s="5"/>
      <c r="S70" s="5"/>
      <c r="T70" s="5"/>
      <c r="U70" s="5"/>
      <c r="V70" s="5"/>
      <c r="W70" s="5"/>
      <c r="X70" s="5"/>
      <c r="Y70" s="5"/>
      <c r="Z70" s="5"/>
      <c r="AA70" s="5"/>
      <c r="AB70" s="5"/>
      <c r="AC70" s="5"/>
      <c r="AD70" s="5"/>
      <c r="AE70" s="5"/>
    </row>
    <row r="71" ht="15.75" customHeight="1">
      <c r="A71" s="5"/>
      <c r="B71" s="5"/>
      <c r="C71" s="5"/>
      <c r="D71" s="5"/>
      <c r="E71" s="5"/>
      <c r="F71" s="5"/>
      <c r="G71" s="112"/>
      <c r="H71" s="112"/>
      <c r="I71" s="112"/>
      <c r="J71" s="112"/>
      <c r="K71" s="112"/>
      <c r="L71" s="112"/>
      <c r="M71" s="112"/>
      <c r="N71" s="112"/>
      <c r="O71" s="112"/>
      <c r="P71" s="112"/>
      <c r="Q71" s="5"/>
      <c r="R71" s="5"/>
      <c r="S71" s="5"/>
      <c r="T71" s="5"/>
      <c r="U71" s="5"/>
      <c r="V71" s="5"/>
      <c r="W71" s="5"/>
      <c r="X71" s="5"/>
      <c r="Y71" s="5"/>
      <c r="Z71" s="5"/>
      <c r="AA71" s="5"/>
      <c r="AB71" s="5"/>
      <c r="AC71" s="5"/>
      <c r="AD71" s="5"/>
      <c r="AE71" s="5"/>
    </row>
    <row r="72" ht="15.75" customHeight="1">
      <c r="A72" s="5"/>
      <c r="B72" s="5"/>
      <c r="C72" s="5"/>
      <c r="D72" s="5"/>
      <c r="E72" s="5"/>
      <c r="F72" s="5"/>
      <c r="G72" s="112"/>
      <c r="H72" s="112"/>
      <c r="I72" s="112"/>
      <c r="J72" s="112"/>
      <c r="K72" s="112"/>
      <c r="L72" s="112"/>
      <c r="M72" s="112"/>
      <c r="N72" s="112"/>
      <c r="O72" s="112"/>
      <c r="P72" s="112"/>
      <c r="Q72" s="5"/>
      <c r="R72" s="5"/>
      <c r="S72" s="5"/>
      <c r="T72" s="5"/>
      <c r="U72" s="5"/>
      <c r="V72" s="5"/>
      <c r="W72" s="5"/>
      <c r="X72" s="5"/>
      <c r="Y72" s="5"/>
      <c r="Z72" s="5"/>
      <c r="AA72" s="5"/>
      <c r="AB72" s="5"/>
      <c r="AC72" s="5"/>
      <c r="AD72" s="5"/>
      <c r="AE72" s="5"/>
    </row>
    <row r="73" ht="15.75" customHeight="1">
      <c r="A73" s="5"/>
      <c r="B73" s="5"/>
      <c r="C73" s="5"/>
      <c r="D73" s="5"/>
      <c r="E73" s="5"/>
      <c r="F73" s="5"/>
      <c r="G73" s="112"/>
      <c r="H73" s="112"/>
      <c r="I73" s="112"/>
      <c r="J73" s="112"/>
      <c r="K73" s="112"/>
      <c r="L73" s="112"/>
      <c r="M73" s="112"/>
      <c r="N73" s="112"/>
      <c r="O73" s="112"/>
      <c r="P73" s="112"/>
      <c r="Q73" s="5"/>
      <c r="R73" s="5"/>
      <c r="S73" s="5"/>
      <c r="T73" s="5"/>
      <c r="U73" s="5"/>
      <c r="V73" s="5"/>
      <c r="W73" s="5"/>
      <c r="X73" s="5"/>
      <c r="Y73" s="5"/>
      <c r="Z73" s="5"/>
      <c r="AA73" s="5"/>
      <c r="AB73" s="5"/>
      <c r="AC73" s="5"/>
      <c r="AD73" s="5"/>
      <c r="AE73" s="5"/>
    </row>
    <row r="74" ht="15.75" customHeight="1">
      <c r="A74" s="5"/>
      <c r="B74" s="5"/>
      <c r="C74" s="5"/>
      <c r="D74" s="5"/>
      <c r="E74" s="5"/>
      <c r="F74" s="5"/>
      <c r="G74" s="112"/>
      <c r="H74" s="112"/>
      <c r="I74" s="112"/>
      <c r="J74" s="112"/>
      <c r="K74" s="112"/>
      <c r="L74" s="112"/>
      <c r="M74" s="112"/>
      <c r="N74" s="112"/>
      <c r="O74" s="112"/>
      <c r="P74" s="112"/>
      <c r="Q74" s="5"/>
      <c r="R74" s="5"/>
      <c r="S74" s="5"/>
      <c r="T74" s="5"/>
      <c r="U74" s="5"/>
      <c r="V74" s="5"/>
      <c r="W74" s="5"/>
      <c r="X74" s="5"/>
      <c r="Y74" s="5"/>
      <c r="Z74" s="5"/>
      <c r="AA74" s="5"/>
      <c r="AB74" s="5"/>
      <c r="AC74" s="5"/>
      <c r="AD74" s="5"/>
      <c r="AE74" s="5"/>
    </row>
    <row r="75" ht="15.75" customHeight="1">
      <c r="A75" s="5"/>
      <c r="B75" s="5"/>
      <c r="C75" s="5"/>
      <c r="D75" s="5"/>
      <c r="E75" s="5"/>
      <c r="F75" s="5"/>
      <c r="G75" s="112"/>
      <c r="H75" s="112"/>
      <c r="I75" s="112"/>
      <c r="J75" s="112"/>
      <c r="K75" s="112"/>
      <c r="L75" s="112"/>
      <c r="M75" s="112"/>
      <c r="N75" s="112"/>
      <c r="O75" s="112"/>
      <c r="P75" s="112"/>
      <c r="Q75" s="5"/>
      <c r="R75" s="5"/>
      <c r="S75" s="5"/>
      <c r="T75" s="5"/>
      <c r="U75" s="5"/>
      <c r="V75" s="5"/>
      <c r="W75" s="5"/>
      <c r="X75" s="5"/>
      <c r="Y75" s="5"/>
      <c r="Z75" s="5"/>
      <c r="AA75" s="5"/>
      <c r="AB75" s="5"/>
      <c r="AC75" s="5"/>
      <c r="AD75" s="5"/>
      <c r="AE75" s="5"/>
    </row>
    <row r="76" ht="15.75" customHeight="1">
      <c r="A76" s="5"/>
      <c r="B76" s="5"/>
      <c r="C76" s="5"/>
      <c r="D76" s="5"/>
      <c r="E76" s="5"/>
      <c r="F76" s="5"/>
      <c r="G76" s="112"/>
      <c r="H76" s="112"/>
      <c r="I76" s="112"/>
      <c r="J76" s="112"/>
      <c r="K76" s="112"/>
      <c r="L76" s="112"/>
      <c r="M76" s="112"/>
      <c r="N76" s="112"/>
      <c r="O76" s="112"/>
      <c r="P76" s="112"/>
      <c r="Q76" s="5"/>
      <c r="R76" s="5"/>
      <c r="S76" s="5"/>
      <c r="T76" s="5"/>
      <c r="U76" s="5"/>
      <c r="V76" s="5"/>
      <c r="W76" s="5"/>
      <c r="X76" s="5"/>
      <c r="Y76" s="5"/>
      <c r="Z76" s="5"/>
      <c r="AA76" s="5"/>
      <c r="AB76" s="5"/>
      <c r="AC76" s="5"/>
      <c r="AD76" s="5"/>
      <c r="AE76" s="5"/>
    </row>
    <row r="77" ht="15.75" customHeight="1">
      <c r="A77" s="5"/>
      <c r="B77" s="5"/>
      <c r="C77" s="5"/>
      <c r="D77" s="5"/>
      <c r="E77" s="5"/>
      <c r="F77" s="5"/>
      <c r="G77" s="112"/>
      <c r="H77" s="112"/>
      <c r="I77" s="112"/>
      <c r="J77" s="112"/>
      <c r="K77" s="112"/>
      <c r="L77" s="112"/>
      <c r="M77" s="112"/>
      <c r="N77" s="112"/>
      <c r="O77" s="112"/>
      <c r="P77" s="112"/>
      <c r="Q77" s="5"/>
      <c r="R77" s="5"/>
      <c r="S77" s="5"/>
      <c r="T77" s="5"/>
      <c r="U77" s="5"/>
      <c r="V77" s="5"/>
      <c r="W77" s="5"/>
      <c r="X77" s="5"/>
      <c r="Y77" s="5"/>
      <c r="Z77" s="5"/>
      <c r="AA77" s="5"/>
      <c r="AB77" s="5"/>
      <c r="AC77" s="5"/>
      <c r="AD77" s="5"/>
      <c r="AE77" s="5"/>
    </row>
    <row r="78" ht="15.75" customHeight="1">
      <c r="A78" s="5"/>
      <c r="B78" s="5"/>
      <c r="C78" s="5"/>
      <c r="D78" s="5"/>
      <c r="E78" s="5"/>
      <c r="F78" s="5"/>
      <c r="G78" s="112"/>
      <c r="H78" s="112"/>
      <c r="I78" s="112"/>
      <c r="J78" s="112"/>
      <c r="K78" s="112"/>
      <c r="L78" s="112"/>
      <c r="M78" s="112"/>
      <c r="N78" s="112"/>
      <c r="O78" s="112"/>
      <c r="P78" s="112"/>
      <c r="Q78" s="5"/>
      <c r="R78" s="5"/>
      <c r="S78" s="5"/>
      <c r="T78" s="5"/>
      <c r="U78" s="5"/>
      <c r="V78" s="5"/>
      <c r="W78" s="5"/>
      <c r="X78" s="5"/>
      <c r="Y78" s="5"/>
      <c r="Z78" s="5"/>
      <c r="AA78" s="5"/>
      <c r="AB78" s="5"/>
      <c r="AC78" s="5"/>
      <c r="AD78" s="5"/>
      <c r="AE78" s="5"/>
    </row>
    <row r="79" ht="15.75" customHeight="1">
      <c r="A79" s="5"/>
      <c r="B79" s="5"/>
      <c r="C79" s="5"/>
      <c r="D79" s="5"/>
      <c r="E79" s="5"/>
      <c r="F79" s="5"/>
      <c r="G79" s="112"/>
      <c r="H79" s="112"/>
      <c r="I79" s="112"/>
      <c r="J79" s="112"/>
      <c r="K79" s="112"/>
      <c r="L79" s="112"/>
      <c r="M79" s="112"/>
      <c r="N79" s="112"/>
      <c r="O79" s="112"/>
      <c r="P79" s="112"/>
      <c r="Q79" s="5"/>
      <c r="R79" s="5"/>
      <c r="S79" s="5"/>
      <c r="T79" s="5"/>
      <c r="U79" s="5"/>
      <c r="V79" s="5"/>
      <c r="W79" s="5"/>
      <c r="X79" s="5"/>
      <c r="Y79" s="5"/>
      <c r="Z79" s="5"/>
      <c r="AA79" s="5"/>
      <c r="AB79" s="5"/>
      <c r="AC79" s="5"/>
      <c r="AD79" s="5"/>
      <c r="AE79" s="5"/>
    </row>
    <row r="80" ht="15.75" customHeight="1">
      <c r="A80" s="5"/>
      <c r="B80" s="5"/>
      <c r="C80" s="5"/>
      <c r="D80" s="5"/>
      <c r="E80" s="5"/>
      <c r="F80" s="5"/>
      <c r="G80" s="112"/>
      <c r="H80" s="112"/>
      <c r="I80" s="112"/>
      <c r="J80" s="112"/>
      <c r="K80" s="112"/>
      <c r="L80" s="112"/>
      <c r="M80" s="112"/>
      <c r="N80" s="112"/>
      <c r="O80" s="112"/>
      <c r="P80" s="112"/>
      <c r="Q80" s="5"/>
      <c r="R80" s="5"/>
      <c r="S80" s="5"/>
      <c r="T80" s="5"/>
      <c r="U80" s="5"/>
      <c r="V80" s="5"/>
      <c r="W80" s="5"/>
      <c r="X80" s="5"/>
      <c r="Y80" s="5"/>
      <c r="Z80" s="5"/>
      <c r="AA80" s="5"/>
      <c r="AB80" s="5"/>
      <c r="AC80" s="5"/>
      <c r="AD80" s="5"/>
      <c r="AE80" s="5"/>
    </row>
    <row r="81" ht="15.75" customHeight="1">
      <c r="A81" s="5"/>
      <c r="B81" s="5"/>
      <c r="C81" s="5"/>
      <c r="D81" s="5"/>
      <c r="E81" s="5"/>
      <c r="F81" s="5"/>
      <c r="G81" s="112"/>
      <c r="H81" s="112"/>
      <c r="I81" s="112"/>
      <c r="J81" s="112"/>
      <c r="K81" s="112"/>
      <c r="L81" s="112"/>
      <c r="M81" s="112"/>
      <c r="N81" s="112"/>
      <c r="O81" s="112"/>
      <c r="P81" s="112"/>
      <c r="Q81" s="5"/>
      <c r="R81" s="5"/>
      <c r="S81" s="5"/>
      <c r="T81" s="5"/>
      <c r="U81" s="5"/>
      <c r="V81" s="5"/>
      <c r="W81" s="5"/>
      <c r="X81" s="5"/>
      <c r="Y81" s="5"/>
      <c r="Z81" s="5"/>
      <c r="AA81" s="5"/>
      <c r="AB81" s="5"/>
      <c r="AC81" s="5"/>
      <c r="AD81" s="5"/>
      <c r="AE81" s="5"/>
    </row>
    <row r="82" ht="15.75" customHeight="1">
      <c r="A82" s="5"/>
      <c r="B82" s="5"/>
      <c r="C82" s="5"/>
      <c r="D82" s="5"/>
      <c r="E82" s="5"/>
      <c r="F82" s="5"/>
      <c r="G82" s="112"/>
      <c r="H82" s="112"/>
      <c r="I82" s="112"/>
      <c r="J82" s="112"/>
      <c r="K82" s="112"/>
      <c r="L82" s="112"/>
      <c r="M82" s="112"/>
      <c r="N82" s="112"/>
      <c r="O82" s="112"/>
      <c r="P82" s="112"/>
      <c r="Q82" s="5"/>
      <c r="R82" s="5"/>
      <c r="S82" s="5"/>
      <c r="T82" s="5"/>
      <c r="U82" s="5"/>
      <c r="V82" s="5"/>
      <c r="W82" s="5"/>
      <c r="X82" s="5"/>
      <c r="Y82" s="5"/>
      <c r="Z82" s="5"/>
      <c r="AA82" s="5"/>
      <c r="AB82" s="5"/>
      <c r="AC82" s="5"/>
      <c r="AD82" s="5"/>
      <c r="AE82" s="5"/>
    </row>
    <row r="83" ht="15.75" customHeight="1">
      <c r="A83" s="5"/>
      <c r="B83" s="5"/>
      <c r="C83" s="5"/>
      <c r="D83" s="5"/>
      <c r="E83" s="5"/>
      <c r="F83" s="5"/>
      <c r="G83" s="112"/>
      <c r="H83" s="112"/>
      <c r="I83" s="112"/>
      <c r="J83" s="112"/>
      <c r="K83" s="112"/>
      <c r="L83" s="112"/>
      <c r="M83" s="112"/>
      <c r="N83" s="112"/>
      <c r="O83" s="112"/>
      <c r="P83" s="112"/>
      <c r="Q83" s="5"/>
      <c r="R83" s="5"/>
      <c r="S83" s="5"/>
      <c r="T83" s="5"/>
      <c r="U83" s="5"/>
      <c r="V83" s="5"/>
      <c r="W83" s="5"/>
      <c r="X83" s="5"/>
      <c r="Y83" s="5"/>
      <c r="Z83" s="5"/>
      <c r="AA83" s="5"/>
      <c r="AB83" s="5"/>
      <c r="AC83" s="5"/>
      <c r="AD83" s="5"/>
      <c r="AE83" s="5"/>
    </row>
    <row r="84" ht="15.75" customHeight="1">
      <c r="A84" s="5"/>
      <c r="B84" s="5"/>
      <c r="C84" s="5"/>
      <c r="D84" s="5"/>
      <c r="E84" s="5"/>
      <c r="F84" s="5"/>
      <c r="G84" s="112"/>
      <c r="H84" s="112"/>
      <c r="I84" s="112"/>
      <c r="J84" s="112"/>
      <c r="K84" s="112"/>
      <c r="L84" s="112"/>
      <c r="M84" s="112"/>
      <c r="N84" s="112"/>
      <c r="O84" s="112"/>
      <c r="P84" s="112"/>
      <c r="Q84" s="5"/>
      <c r="R84" s="5"/>
      <c r="S84" s="5"/>
      <c r="T84" s="5"/>
      <c r="U84" s="5"/>
      <c r="V84" s="5"/>
      <c r="W84" s="5"/>
      <c r="X84" s="5"/>
      <c r="Y84" s="5"/>
      <c r="Z84" s="5"/>
      <c r="AA84" s="5"/>
      <c r="AB84" s="5"/>
      <c r="AC84" s="5"/>
      <c r="AD84" s="5"/>
      <c r="AE84" s="5"/>
    </row>
    <row r="85" ht="15.75" customHeight="1">
      <c r="A85" s="5"/>
      <c r="B85" s="5"/>
      <c r="C85" s="5"/>
      <c r="D85" s="5"/>
      <c r="E85" s="5"/>
      <c r="F85" s="5"/>
      <c r="G85" s="112"/>
      <c r="H85" s="112"/>
      <c r="I85" s="112"/>
      <c r="J85" s="112"/>
      <c r="K85" s="112"/>
      <c r="L85" s="112"/>
      <c r="M85" s="112"/>
      <c r="N85" s="112"/>
      <c r="O85" s="112"/>
      <c r="P85" s="112"/>
      <c r="Q85" s="5"/>
      <c r="R85" s="5"/>
      <c r="S85" s="5"/>
      <c r="T85" s="5"/>
      <c r="U85" s="5"/>
      <c r="V85" s="5"/>
      <c r="W85" s="5"/>
      <c r="X85" s="5"/>
      <c r="Y85" s="5"/>
      <c r="Z85" s="5"/>
      <c r="AA85" s="5"/>
      <c r="AB85" s="5"/>
      <c r="AC85" s="5"/>
      <c r="AD85" s="5"/>
      <c r="AE85" s="5"/>
    </row>
    <row r="86" ht="15.75" customHeight="1">
      <c r="A86" s="5"/>
      <c r="B86" s="5"/>
      <c r="C86" s="5"/>
      <c r="D86" s="5"/>
      <c r="E86" s="5"/>
      <c r="F86" s="5"/>
      <c r="G86" s="112"/>
      <c r="H86" s="112"/>
      <c r="I86" s="112"/>
      <c r="J86" s="112"/>
      <c r="K86" s="112"/>
      <c r="L86" s="112"/>
      <c r="M86" s="112"/>
      <c r="N86" s="112"/>
      <c r="O86" s="112"/>
      <c r="P86" s="112"/>
      <c r="Q86" s="5"/>
      <c r="R86" s="5"/>
      <c r="S86" s="5"/>
      <c r="T86" s="5"/>
      <c r="U86" s="5"/>
      <c r="V86" s="5"/>
      <c r="W86" s="5"/>
      <c r="X86" s="5"/>
      <c r="Y86" s="5"/>
      <c r="Z86" s="5"/>
      <c r="AA86" s="5"/>
      <c r="AB86" s="5"/>
      <c r="AC86" s="5"/>
      <c r="AD86" s="5"/>
      <c r="AE86" s="5"/>
    </row>
    <row r="87" ht="15.75" customHeight="1">
      <c r="A87" s="5"/>
      <c r="B87" s="5"/>
      <c r="C87" s="5"/>
      <c r="D87" s="5"/>
      <c r="E87" s="5"/>
      <c r="F87" s="5"/>
      <c r="G87" s="112"/>
      <c r="H87" s="112"/>
      <c r="I87" s="112"/>
      <c r="J87" s="112"/>
      <c r="K87" s="112"/>
      <c r="L87" s="112"/>
      <c r="M87" s="112"/>
      <c r="N87" s="112"/>
      <c r="O87" s="112"/>
      <c r="P87" s="112"/>
      <c r="Q87" s="5"/>
      <c r="R87" s="5"/>
      <c r="S87" s="5"/>
      <c r="T87" s="5"/>
      <c r="U87" s="5"/>
      <c r="V87" s="5"/>
      <c r="W87" s="5"/>
      <c r="X87" s="5"/>
      <c r="Y87" s="5"/>
      <c r="Z87" s="5"/>
      <c r="AA87" s="5"/>
      <c r="AB87" s="5"/>
      <c r="AC87" s="5"/>
      <c r="AD87" s="5"/>
      <c r="AE87" s="5"/>
    </row>
    <row r="88" ht="15.75" customHeight="1">
      <c r="A88" s="5"/>
      <c r="B88" s="5"/>
      <c r="C88" s="5"/>
      <c r="D88" s="5"/>
      <c r="E88" s="5"/>
      <c r="F88" s="5"/>
      <c r="G88" s="112"/>
      <c r="H88" s="112"/>
      <c r="I88" s="112"/>
      <c r="J88" s="112"/>
      <c r="K88" s="112"/>
      <c r="L88" s="112"/>
      <c r="M88" s="112"/>
      <c r="N88" s="112"/>
      <c r="O88" s="112"/>
      <c r="P88" s="112"/>
      <c r="Q88" s="5"/>
      <c r="R88" s="5"/>
      <c r="S88" s="5"/>
      <c r="T88" s="5"/>
      <c r="U88" s="5"/>
      <c r="V88" s="5"/>
      <c r="W88" s="5"/>
      <c r="X88" s="5"/>
      <c r="Y88" s="5"/>
      <c r="Z88" s="5"/>
      <c r="AA88" s="5"/>
      <c r="AB88" s="5"/>
      <c r="AC88" s="5"/>
      <c r="AD88" s="5"/>
      <c r="AE88" s="5"/>
    </row>
    <row r="89" ht="15.75" customHeight="1">
      <c r="A89" s="5"/>
      <c r="B89" s="5"/>
      <c r="C89" s="5"/>
      <c r="D89" s="5"/>
      <c r="E89" s="5"/>
      <c r="F89" s="5"/>
      <c r="G89" s="112"/>
      <c r="H89" s="112"/>
      <c r="I89" s="112"/>
      <c r="J89" s="112"/>
      <c r="K89" s="112"/>
      <c r="L89" s="112"/>
      <c r="M89" s="112"/>
      <c r="N89" s="112"/>
      <c r="O89" s="112"/>
      <c r="P89" s="112"/>
      <c r="Q89" s="5"/>
      <c r="R89" s="5"/>
      <c r="S89" s="5"/>
      <c r="T89" s="5"/>
      <c r="U89" s="5"/>
      <c r="V89" s="5"/>
      <c r="W89" s="5"/>
      <c r="X89" s="5"/>
      <c r="Y89" s="5"/>
      <c r="Z89" s="5"/>
      <c r="AA89" s="5"/>
      <c r="AB89" s="5"/>
      <c r="AC89" s="5"/>
      <c r="AD89" s="5"/>
      <c r="AE89" s="5"/>
    </row>
    <row r="90" ht="15.75" customHeight="1">
      <c r="A90" s="5"/>
      <c r="B90" s="5"/>
      <c r="C90" s="5"/>
      <c r="D90" s="5"/>
      <c r="E90" s="5"/>
      <c r="F90" s="5"/>
      <c r="G90" s="112"/>
      <c r="H90" s="112"/>
      <c r="I90" s="112"/>
      <c r="J90" s="112"/>
      <c r="K90" s="112"/>
      <c r="L90" s="112"/>
      <c r="M90" s="112"/>
      <c r="N90" s="112"/>
      <c r="O90" s="112"/>
      <c r="P90" s="112"/>
      <c r="Q90" s="5"/>
      <c r="R90" s="5"/>
      <c r="S90" s="5"/>
      <c r="T90" s="5"/>
      <c r="U90" s="5"/>
      <c r="V90" s="5"/>
      <c r="W90" s="5"/>
      <c r="X90" s="5"/>
      <c r="Y90" s="5"/>
      <c r="Z90" s="5"/>
      <c r="AA90" s="5"/>
      <c r="AB90" s="5"/>
      <c r="AC90" s="5"/>
      <c r="AD90" s="5"/>
      <c r="AE90" s="5"/>
    </row>
    <row r="91" ht="15.75" customHeight="1">
      <c r="A91" s="5"/>
      <c r="B91" s="5"/>
      <c r="C91" s="5"/>
      <c r="D91" s="5"/>
      <c r="E91" s="5"/>
      <c r="F91" s="5"/>
      <c r="G91" s="112"/>
      <c r="H91" s="112"/>
      <c r="I91" s="112"/>
      <c r="J91" s="112"/>
      <c r="K91" s="112"/>
      <c r="L91" s="112"/>
      <c r="M91" s="112"/>
      <c r="N91" s="112"/>
      <c r="O91" s="112"/>
      <c r="P91" s="112"/>
      <c r="Q91" s="5"/>
      <c r="R91" s="5"/>
      <c r="S91" s="5"/>
      <c r="T91" s="5"/>
      <c r="U91" s="5"/>
      <c r="V91" s="5"/>
      <c r="W91" s="5"/>
      <c r="X91" s="5"/>
      <c r="Y91" s="5"/>
      <c r="Z91" s="5"/>
      <c r="AA91" s="5"/>
      <c r="AB91" s="5"/>
      <c r="AC91" s="5"/>
      <c r="AD91" s="5"/>
      <c r="AE91" s="5"/>
    </row>
    <row r="92" ht="15.75" customHeight="1">
      <c r="A92" s="5"/>
      <c r="B92" s="5"/>
      <c r="C92" s="5"/>
      <c r="D92" s="5"/>
      <c r="E92" s="5"/>
      <c r="F92" s="5"/>
      <c r="G92" s="112"/>
      <c r="H92" s="112"/>
      <c r="I92" s="112"/>
      <c r="J92" s="112"/>
      <c r="K92" s="112"/>
      <c r="L92" s="112"/>
      <c r="M92" s="112"/>
      <c r="N92" s="112"/>
      <c r="O92" s="112"/>
      <c r="P92" s="112"/>
      <c r="Q92" s="5"/>
      <c r="R92" s="5"/>
      <c r="S92" s="5"/>
      <c r="T92" s="5"/>
      <c r="U92" s="5"/>
      <c r="V92" s="5"/>
      <c r="W92" s="5"/>
      <c r="X92" s="5"/>
      <c r="Y92" s="5"/>
      <c r="Z92" s="5"/>
      <c r="AA92" s="5"/>
      <c r="AB92" s="5"/>
      <c r="AC92" s="5"/>
      <c r="AD92" s="5"/>
      <c r="AE92" s="5"/>
    </row>
    <row r="93" ht="15.75" customHeight="1">
      <c r="A93" s="5"/>
      <c r="B93" s="5"/>
      <c r="C93" s="5"/>
      <c r="D93" s="5"/>
      <c r="E93" s="5"/>
      <c r="F93" s="5"/>
      <c r="G93" s="112"/>
      <c r="H93" s="112"/>
      <c r="I93" s="112"/>
      <c r="J93" s="112"/>
      <c r="K93" s="112"/>
      <c r="L93" s="112"/>
      <c r="M93" s="112"/>
      <c r="N93" s="112"/>
      <c r="O93" s="112"/>
      <c r="P93" s="112"/>
      <c r="Q93" s="5"/>
      <c r="R93" s="5"/>
      <c r="S93" s="5"/>
      <c r="T93" s="5"/>
      <c r="U93" s="5"/>
      <c r="V93" s="5"/>
      <c r="W93" s="5"/>
      <c r="X93" s="5"/>
      <c r="Y93" s="5"/>
      <c r="Z93" s="5"/>
      <c r="AA93" s="5"/>
      <c r="AB93" s="5"/>
      <c r="AC93" s="5"/>
      <c r="AD93" s="5"/>
      <c r="AE93" s="5"/>
    </row>
    <row r="94" ht="15.75" customHeight="1">
      <c r="A94" s="5"/>
      <c r="B94" s="5"/>
      <c r="C94" s="5"/>
      <c r="D94" s="5"/>
      <c r="E94" s="5"/>
      <c r="F94" s="5"/>
      <c r="G94" s="112"/>
      <c r="H94" s="112"/>
      <c r="I94" s="112"/>
      <c r="J94" s="112"/>
      <c r="K94" s="112"/>
      <c r="L94" s="112"/>
      <c r="M94" s="112"/>
      <c r="N94" s="112"/>
      <c r="O94" s="112"/>
      <c r="P94" s="112"/>
      <c r="Q94" s="5"/>
      <c r="R94" s="5"/>
      <c r="S94" s="5"/>
      <c r="T94" s="5"/>
      <c r="U94" s="5"/>
      <c r="V94" s="5"/>
      <c r="W94" s="5"/>
      <c r="X94" s="5"/>
      <c r="Y94" s="5"/>
      <c r="Z94" s="5"/>
      <c r="AA94" s="5"/>
      <c r="AB94" s="5"/>
      <c r="AC94" s="5"/>
      <c r="AD94" s="5"/>
      <c r="AE94" s="5"/>
    </row>
    <row r="95" ht="15.75" customHeight="1">
      <c r="A95" s="5"/>
      <c r="B95" s="5"/>
      <c r="C95" s="5"/>
      <c r="D95" s="5"/>
      <c r="E95" s="5"/>
      <c r="F95" s="5"/>
      <c r="G95" s="112"/>
      <c r="H95" s="112"/>
      <c r="I95" s="112"/>
      <c r="J95" s="112"/>
      <c r="K95" s="112"/>
      <c r="L95" s="112"/>
      <c r="M95" s="112"/>
      <c r="N95" s="112"/>
      <c r="O95" s="112"/>
      <c r="P95" s="112"/>
      <c r="Q95" s="5"/>
      <c r="R95" s="5"/>
      <c r="S95" s="5"/>
      <c r="T95" s="5"/>
      <c r="U95" s="5"/>
      <c r="V95" s="5"/>
      <c r="W95" s="5"/>
      <c r="X95" s="5"/>
      <c r="Y95" s="5"/>
      <c r="Z95" s="5"/>
      <c r="AA95" s="5"/>
      <c r="AB95" s="5"/>
      <c r="AC95" s="5"/>
      <c r="AD95" s="5"/>
      <c r="AE95" s="5"/>
    </row>
    <row r="96" ht="15.75" customHeight="1">
      <c r="A96" s="5"/>
      <c r="B96" s="5"/>
      <c r="C96" s="5"/>
      <c r="D96" s="5"/>
      <c r="E96" s="5"/>
      <c r="F96" s="5"/>
      <c r="G96" s="112"/>
      <c r="H96" s="112"/>
      <c r="I96" s="112"/>
      <c r="J96" s="112"/>
      <c r="K96" s="112"/>
      <c r="L96" s="112"/>
      <c r="M96" s="112"/>
      <c r="N96" s="112"/>
      <c r="O96" s="112"/>
      <c r="P96" s="112"/>
      <c r="Q96" s="5"/>
      <c r="R96" s="5"/>
      <c r="S96" s="5"/>
      <c r="T96" s="5"/>
      <c r="U96" s="5"/>
      <c r="V96" s="5"/>
      <c r="W96" s="5"/>
      <c r="X96" s="5"/>
      <c r="Y96" s="5"/>
      <c r="Z96" s="5"/>
      <c r="AA96" s="5"/>
      <c r="AB96" s="5"/>
      <c r="AC96" s="5"/>
      <c r="AD96" s="5"/>
      <c r="AE96" s="5"/>
    </row>
    <row r="97" ht="15.75" customHeight="1">
      <c r="A97" s="5"/>
      <c r="B97" s="5"/>
      <c r="C97" s="5"/>
      <c r="D97" s="5"/>
      <c r="E97" s="5"/>
      <c r="F97" s="5"/>
      <c r="G97" s="112"/>
      <c r="H97" s="112"/>
      <c r="I97" s="112"/>
      <c r="J97" s="112"/>
      <c r="K97" s="112"/>
      <c r="L97" s="112"/>
      <c r="M97" s="112"/>
      <c r="N97" s="112"/>
      <c r="O97" s="112"/>
      <c r="P97" s="112"/>
      <c r="Q97" s="5"/>
      <c r="R97" s="5"/>
      <c r="S97" s="5"/>
      <c r="T97" s="5"/>
      <c r="U97" s="5"/>
      <c r="V97" s="5"/>
      <c r="W97" s="5"/>
      <c r="X97" s="5"/>
      <c r="Y97" s="5"/>
      <c r="Z97" s="5"/>
      <c r="AA97" s="5"/>
      <c r="AB97" s="5"/>
      <c r="AC97" s="5"/>
      <c r="AD97" s="5"/>
      <c r="AE97" s="5"/>
    </row>
    <row r="98" ht="15.75" customHeight="1">
      <c r="A98" s="5"/>
      <c r="B98" s="5"/>
      <c r="C98" s="5"/>
      <c r="D98" s="5"/>
      <c r="E98" s="5"/>
      <c r="F98" s="5"/>
      <c r="G98" s="112"/>
      <c r="H98" s="112"/>
      <c r="I98" s="112"/>
      <c r="J98" s="112"/>
      <c r="K98" s="112"/>
      <c r="L98" s="112"/>
      <c r="M98" s="112"/>
      <c r="N98" s="112"/>
      <c r="O98" s="112"/>
      <c r="P98" s="112"/>
      <c r="Q98" s="5"/>
      <c r="R98" s="5"/>
      <c r="S98" s="5"/>
      <c r="T98" s="5"/>
      <c r="U98" s="5"/>
      <c r="V98" s="5"/>
      <c r="W98" s="5"/>
      <c r="X98" s="5"/>
      <c r="Y98" s="5"/>
      <c r="Z98" s="5"/>
      <c r="AA98" s="5"/>
      <c r="AB98" s="5"/>
      <c r="AC98" s="5"/>
      <c r="AD98" s="5"/>
      <c r="AE98" s="5"/>
    </row>
    <row r="99" ht="15.75" customHeight="1">
      <c r="A99" s="5"/>
      <c r="B99" s="5"/>
      <c r="C99" s="5"/>
      <c r="D99" s="5"/>
      <c r="E99" s="5"/>
      <c r="F99" s="5"/>
      <c r="G99" s="112"/>
      <c r="H99" s="112"/>
      <c r="I99" s="112"/>
      <c r="J99" s="112"/>
      <c r="K99" s="112"/>
      <c r="L99" s="112"/>
      <c r="M99" s="112"/>
      <c r="N99" s="112"/>
      <c r="O99" s="112"/>
      <c r="P99" s="112"/>
      <c r="Q99" s="5"/>
      <c r="R99" s="5"/>
      <c r="S99" s="5"/>
      <c r="T99" s="5"/>
      <c r="U99" s="5"/>
      <c r="V99" s="5"/>
      <c r="W99" s="5"/>
      <c r="X99" s="5"/>
      <c r="Y99" s="5"/>
      <c r="Z99" s="5"/>
      <c r="AA99" s="5"/>
      <c r="AB99" s="5"/>
      <c r="AC99" s="5"/>
      <c r="AD99" s="5"/>
      <c r="AE99" s="5"/>
    </row>
    <row r="100" ht="15.75" customHeight="1">
      <c r="A100" s="5"/>
      <c r="B100" s="5"/>
      <c r="C100" s="5"/>
      <c r="D100" s="5"/>
      <c r="E100" s="5"/>
      <c r="F100" s="5"/>
      <c r="G100" s="112"/>
      <c r="H100" s="112"/>
      <c r="I100" s="112"/>
      <c r="J100" s="112"/>
      <c r="K100" s="112"/>
      <c r="L100" s="112"/>
      <c r="M100" s="112"/>
      <c r="N100" s="112"/>
      <c r="O100" s="112"/>
      <c r="P100" s="112"/>
      <c r="Q100" s="5"/>
      <c r="R100" s="5"/>
      <c r="S100" s="5"/>
      <c r="T100" s="5"/>
      <c r="U100" s="5"/>
      <c r="V100" s="5"/>
      <c r="W100" s="5"/>
      <c r="X100" s="5"/>
      <c r="Y100" s="5"/>
      <c r="Z100" s="5"/>
      <c r="AA100" s="5"/>
      <c r="AB100" s="5"/>
      <c r="AC100" s="5"/>
      <c r="AD100" s="5"/>
      <c r="AE100" s="5"/>
    </row>
    <row r="101" ht="15.75" customHeight="1">
      <c r="A101" s="5"/>
      <c r="B101" s="5"/>
      <c r="C101" s="5"/>
      <c r="D101" s="5"/>
      <c r="E101" s="5"/>
      <c r="F101" s="5"/>
      <c r="G101" s="112"/>
      <c r="H101" s="112"/>
      <c r="I101" s="112"/>
      <c r="J101" s="112"/>
      <c r="K101" s="112"/>
      <c r="L101" s="112"/>
      <c r="M101" s="112"/>
      <c r="N101" s="112"/>
      <c r="O101" s="112"/>
      <c r="P101" s="112"/>
      <c r="Q101" s="5"/>
      <c r="R101" s="5"/>
      <c r="S101" s="5"/>
      <c r="T101" s="5"/>
      <c r="U101" s="5"/>
      <c r="V101" s="5"/>
      <c r="W101" s="5"/>
      <c r="X101" s="5"/>
      <c r="Y101" s="5"/>
      <c r="Z101" s="5"/>
      <c r="AA101" s="5"/>
      <c r="AB101" s="5"/>
      <c r="AC101" s="5"/>
      <c r="AD101" s="5"/>
      <c r="AE101" s="5"/>
    </row>
    <row r="102" ht="15.75" customHeight="1">
      <c r="A102" s="5"/>
      <c r="B102" s="5"/>
      <c r="C102" s="5"/>
      <c r="D102" s="5"/>
      <c r="E102" s="5"/>
      <c r="F102" s="5"/>
      <c r="G102" s="112"/>
      <c r="H102" s="112"/>
      <c r="I102" s="112"/>
      <c r="J102" s="112"/>
      <c r="K102" s="112"/>
      <c r="L102" s="112"/>
      <c r="M102" s="112"/>
      <c r="N102" s="112"/>
      <c r="O102" s="112"/>
      <c r="P102" s="112"/>
      <c r="Q102" s="5"/>
      <c r="R102" s="5"/>
      <c r="S102" s="5"/>
      <c r="T102" s="5"/>
      <c r="U102" s="5"/>
      <c r="V102" s="5"/>
      <c r="W102" s="5"/>
      <c r="X102" s="5"/>
      <c r="Y102" s="5"/>
      <c r="Z102" s="5"/>
      <c r="AA102" s="5"/>
      <c r="AB102" s="5"/>
      <c r="AC102" s="5"/>
      <c r="AD102" s="5"/>
      <c r="AE102" s="5"/>
    </row>
    <row r="103" ht="15.75" customHeight="1">
      <c r="A103" s="5"/>
      <c r="B103" s="5"/>
      <c r="C103" s="5"/>
      <c r="D103" s="5"/>
      <c r="E103" s="5"/>
      <c r="F103" s="5"/>
      <c r="G103" s="112"/>
      <c r="H103" s="112"/>
      <c r="I103" s="112"/>
      <c r="J103" s="112"/>
      <c r="K103" s="112"/>
      <c r="L103" s="112"/>
      <c r="M103" s="112"/>
      <c r="N103" s="112"/>
      <c r="O103" s="112"/>
      <c r="P103" s="112"/>
      <c r="Q103" s="5"/>
      <c r="R103" s="5"/>
      <c r="S103" s="5"/>
      <c r="T103" s="5"/>
      <c r="U103" s="5"/>
      <c r="V103" s="5"/>
      <c r="W103" s="5"/>
      <c r="X103" s="5"/>
      <c r="Y103" s="5"/>
      <c r="Z103" s="5"/>
      <c r="AA103" s="5"/>
      <c r="AB103" s="5"/>
      <c r="AC103" s="5"/>
      <c r="AD103" s="5"/>
      <c r="AE103" s="5"/>
    </row>
    <row r="104" ht="15.75" customHeight="1">
      <c r="A104" s="5"/>
      <c r="B104" s="5"/>
      <c r="C104" s="5"/>
      <c r="D104" s="5"/>
      <c r="E104" s="5"/>
      <c r="F104" s="5"/>
      <c r="G104" s="112"/>
      <c r="H104" s="112"/>
      <c r="I104" s="112"/>
      <c r="J104" s="112"/>
      <c r="K104" s="112"/>
      <c r="L104" s="112"/>
      <c r="M104" s="112"/>
      <c r="N104" s="112"/>
      <c r="O104" s="112"/>
      <c r="P104" s="112"/>
      <c r="Q104" s="5"/>
      <c r="R104" s="5"/>
      <c r="S104" s="5"/>
      <c r="T104" s="5"/>
      <c r="U104" s="5"/>
      <c r="V104" s="5"/>
      <c r="W104" s="5"/>
      <c r="X104" s="5"/>
      <c r="Y104" s="5"/>
      <c r="Z104" s="5"/>
      <c r="AA104" s="5"/>
      <c r="AB104" s="5"/>
      <c r="AC104" s="5"/>
      <c r="AD104" s="5"/>
      <c r="AE104" s="5"/>
    </row>
    <row r="105" ht="15.75" customHeight="1">
      <c r="A105" s="5"/>
      <c r="B105" s="5"/>
      <c r="C105" s="5"/>
      <c r="D105" s="5"/>
      <c r="E105" s="5"/>
      <c r="F105" s="5"/>
      <c r="G105" s="112"/>
      <c r="H105" s="112"/>
      <c r="I105" s="112"/>
      <c r="J105" s="112"/>
      <c r="K105" s="112"/>
      <c r="L105" s="112"/>
      <c r="M105" s="112"/>
      <c r="N105" s="112"/>
      <c r="O105" s="112"/>
      <c r="P105" s="112"/>
      <c r="Q105" s="5"/>
      <c r="R105" s="5"/>
      <c r="S105" s="5"/>
      <c r="T105" s="5"/>
      <c r="U105" s="5"/>
      <c r="V105" s="5"/>
      <c r="W105" s="5"/>
      <c r="X105" s="5"/>
      <c r="Y105" s="5"/>
      <c r="Z105" s="5"/>
      <c r="AA105" s="5"/>
      <c r="AB105" s="5"/>
      <c r="AC105" s="5"/>
      <c r="AD105" s="5"/>
      <c r="AE105" s="5"/>
    </row>
    <row r="106" ht="15.75" customHeight="1">
      <c r="A106" s="5"/>
      <c r="B106" s="5"/>
      <c r="C106" s="5"/>
      <c r="D106" s="5"/>
      <c r="E106" s="5"/>
      <c r="F106" s="5"/>
      <c r="G106" s="112"/>
      <c r="H106" s="112"/>
      <c r="I106" s="112"/>
      <c r="J106" s="112"/>
      <c r="K106" s="112"/>
      <c r="L106" s="112"/>
      <c r="M106" s="112"/>
      <c r="N106" s="112"/>
      <c r="O106" s="112"/>
      <c r="P106" s="112"/>
      <c r="Q106" s="5"/>
      <c r="R106" s="5"/>
      <c r="S106" s="5"/>
      <c r="T106" s="5"/>
      <c r="U106" s="5"/>
      <c r="V106" s="5"/>
      <c r="W106" s="5"/>
      <c r="X106" s="5"/>
      <c r="Y106" s="5"/>
      <c r="Z106" s="5"/>
      <c r="AA106" s="5"/>
      <c r="AB106" s="5"/>
      <c r="AC106" s="5"/>
      <c r="AD106" s="5"/>
      <c r="AE106" s="5"/>
    </row>
    <row r="107" ht="15.75" customHeight="1">
      <c r="A107" s="5"/>
      <c r="B107" s="5"/>
      <c r="C107" s="5"/>
      <c r="D107" s="5"/>
      <c r="E107" s="5"/>
      <c r="F107" s="5"/>
      <c r="G107" s="112"/>
      <c r="H107" s="112"/>
      <c r="I107" s="112"/>
      <c r="J107" s="112"/>
      <c r="K107" s="112"/>
      <c r="L107" s="112"/>
      <c r="M107" s="112"/>
      <c r="N107" s="112"/>
      <c r="O107" s="112"/>
      <c r="P107" s="112"/>
      <c r="Q107" s="5"/>
      <c r="R107" s="5"/>
      <c r="S107" s="5"/>
      <c r="T107" s="5"/>
      <c r="U107" s="5"/>
      <c r="V107" s="5"/>
      <c r="W107" s="5"/>
      <c r="X107" s="5"/>
      <c r="Y107" s="5"/>
      <c r="Z107" s="5"/>
      <c r="AA107" s="5"/>
      <c r="AB107" s="5"/>
      <c r="AC107" s="5"/>
      <c r="AD107" s="5"/>
      <c r="AE107" s="5"/>
    </row>
    <row r="108" ht="15.75" customHeight="1">
      <c r="A108" s="5"/>
      <c r="B108" s="5"/>
      <c r="C108" s="5"/>
      <c r="D108" s="5"/>
      <c r="E108" s="5"/>
      <c r="F108" s="5"/>
      <c r="G108" s="112"/>
      <c r="H108" s="112"/>
      <c r="I108" s="112"/>
      <c r="J108" s="112"/>
      <c r="K108" s="112"/>
      <c r="L108" s="112"/>
      <c r="M108" s="112"/>
      <c r="N108" s="112"/>
      <c r="O108" s="112"/>
      <c r="P108" s="112"/>
      <c r="Q108" s="5"/>
      <c r="R108" s="5"/>
      <c r="S108" s="5"/>
      <c r="T108" s="5"/>
      <c r="U108" s="5"/>
      <c r="V108" s="5"/>
      <c r="W108" s="5"/>
      <c r="X108" s="5"/>
      <c r="Y108" s="5"/>
      <c r="Z108" s="5"/>
      <c r="AA108" s="5"/>
      <c r="AB108" s="5"/>
      <c r="AC108" s="5"/>
      <c r="AD108" s="5"/>
      <c r="AE108" s="5"/>
    </row>
    <row r="109" ht="15.75" customHeight="1">
      <c r="A109" s="5"/>
      <c r="B109" s="5"/>
      <c r="C109" s="5"/>
      <c r="D109" s="5"/>
      <c r="E109" s="5"/>
      <c r="F109" s="5"/>
      <c r="G109" s="112"/>
      <c r="H109" s="112"/>
      <c r="I109" s="112"/>
      <c r="J109" s="112"/>
      <c r="K109" s="112"/>
      <c r="L109" s="112"/>
      <c r="M109" s="112"/>
      <c r="N109" s="112"/>
      <c r="O109" s="112"/>
      <c r="P109" s="112"/>
      <c r="Q109" s="5"/>
      <c r="R109" s="5"/>
      <c r="S109" s="5"/>
      <c r="T109" s="5"/>
      <c r="U109" s="5"/>
      <c r="V109" s="5"/>
      <c r="W109" s="5"/>
      <c r="X109" s="5"/>
      <c r="Y109" s="5"/>
      <c r="Z109" s="5"/>
      <c r="AA109" s="5"/>
      <c r="AB109" s="5"/>
      <c r="AC109" s="5"/>
      <c r="AD109" s="5"/>
      <c r="AE109" s="5"/>
    </row>
    <row r="110" ht="15.75" customHeight="1">
      <c r="A110" s="5"/>
      <c r="B110" s="5"/>
      <c r="C110" s="5"/>
      <c r="D110" s="5"/>
      <c r="E110" s="5"/>
      <c r="F110" s="5"/>
      <c r="G110" s="112"/>
      <c r="H110" s="112"/>
      <c r="I110" s="112"/>
      <c r="J110" s="112"/>
      <c r="K110" s="112"/>
      <c r="L110" s="112"/>
      <c r="M110" s="112"/>
      <c r="N110" s="112"/>
      <c r="O110" s="112"/>
      <c r="P110" s="112"/>
      <c r="Q110" s="5"/>
      <c r="R110" s="5"/>
      <c r="S110" s="5"/>
      <c r="T110" s="5"/>
      <c r="U110" s="5"/>
      <c r="V110" s="5"/>
      <c r="W110" s="5"/>
      <c r="X110" s="5"/>
      <c r="Y110" s="5"/>
      <c r="Z110" s="5"/>
      <c r="AA110" s="5"/>
      <c r="AB110" s="5"/>
      <c r="AC110" s="5"/>
      <c r="AD110" s="5"/>
      <c r="AE110" s="5"/>
    </row>
    <row r="111" ht="15.75" customHeight="1">
      <c r="A111" s="5"/>
      <c r="B111" s="5"/>
      <c r="C111" s="5"/>
      <c r="D111" s="5"/>
      <c r="E111" s="5"/>
      <c r="F111" s="5"/>
      <c r="G111" s="112"/>
      <c r="H111" s="112"/>
      <c r="I111" s="112"/>
      <c r="J111" s="112"/>
      <c r="K111" s="112"/>
      <c r="L111" s="112"/>
      <c r="M111" s="112"/>
      <c r="N111" s="112"/>
      <c r="O111" s="112"/>
      <c r="P111" s="112"/>
      <c r="Q111" s="5"/>
      <c r="R111" s="5"/>
      <c r="S111" s="5"/>
      <c r="T111" s="5"/>
      <c r="U111" s="5"/>
      <c r="V111" s="5"/>
      <c r="W111" s="5"/>
      <c r="X111" s="5"/>
      <c r="Y111" s="5"/>
      <c r="Z111" s="5"/>
      <c r="AA111" s="5"/>
      <c r="AB111" s="5"/>
      <c r="AC111" s="5"/>
      <c r="AD111" s="5"/>
      <c r="AE111" s="5"/>
    </row>
    <row r="112" ht="15.75" customHeight="1">
      <c r="A112" s="5"/>
      <c r="B112" s="5"/>
      <c r="C112" s="5"/>
      <c r="D112" s="5"/>
      <c r="E112" s="5"/>
      <c r="F112" s="5"/>
      <c r="G112" s="112"/>
      <c r="H112" s="112"/>
      <c r="I112" s="112"/>
      <c r="J112" s="112"/>
      <c r="K112" s="112"/>
      <c r="L112" s="112"/>
      <c r="M112" s="112"/>
      <c r="N112" s="112"/>
      <c r="O112" s="112"/>
      <c r="P112" s="112"/>
      <c r="Q112" s="5"/>
      <c r="R112" s="5"/>
      <c r="S112" s="5"/>
      <c r="T112" s="5"/>
      <c r="U112" s="5"/>
      <c r="V112" s="5"/>
      <c r="W112" s="5"/>
      <c r="X112" s="5"/>
      <c r="Y112" s="5"/>
      <c r="Z112" s="5"/>
      <c r="AA112" s="5"/>
      <c r="AB112" s="5"/>
      <c r="AC112" s="5"/>
      <c r="AD112" s="5"/>
      <c r="AE112" s="5"/>
    </row>
    <row r="113" ht="15.75" customHeight="1">
      <c r="A113" s="5"/>
      <c r="B113" s="5"/>
      <c r="C113" s="5"/>
      <c r="D113" s="5"/>
      <c r="E113" s="5"/>
      <c r="F113" s="5"/>
      <c r="G113" s="112"/>
      <c r="H113" s="112"/>
      <c r="I113" s="112"/>
      <c r="J113" s="112"/>
      <c r="K113" s="112"/>
      <c r="L113" s="112"/>
      <c r="M113" s="112"/>
      <c r="N113" s="112"/>
      <c r="O113" s="112"/>
      <c r="P113" s="112"/>
      <c r="Q113" s="5"/>
      <c r="R113" s="5"/>
      <c r="S113" s="5"/>
      <c r="T113" s="5"/>
      <c r="U113" s="5"/>
      <c r="V113" s="5"/>
      <c r="W113" s="5"/>
      <c r="X113" s="5"/>
      <c r="Y113" s="5"/>
      <c r="Z113" s="5"/>
      <c r="AA113" s="5"/>
      <c r="AB113" s="5"/>
      <c r="AC113" s="5"/>
      <c r="AD113" s="5"/>
      <c r="AE113" s="5"/>
    </row>
    <row r="114" ht="15.75" customHeight="1">
      <c r="A114" s="5"/>
      <c r="B114" s="5"/>
      <c r="C114" s="5"/>
      <c r="D114" s="5"/>
      <c r="E114" s="5"/>
      <c r="F114" s="5"/>
      <c r="G114" s="112"/>
      <c r="H114" s="112"/>
      <c r="I114" s="112"/>
      <c r="J114" s="112"/>
      <c r="K114" s="112"/>
      <c r="L114" s="112"/>
      <c r="M114" s="112"/>
      <c r="N114" s="112"/>
      <c r="O114" s="112"/>
      <c r="P114" s="112"/>
      <c r="Q114" s="5"/>
      <c r="R114" s="5"/>
      <c r="S114" s="5"/>
      <c r="T114" s="5"/>
      <c r="U114" s="5"/>
      <c r="V114" s="5"/>
      <c r="W114" s="5"/>
      <c r="X114" s="5"/>
      <c r="Y114" s="5"/>
      <c r="Z114" s="5"/>
      <c r="AA114" s="5"/>
      <c r="AB114" s="5"/>
      <c r="AC114" s="5"/>
      <c r="AD114" s="5"/>
      <c r="AE114" s="5"/>
    </row>
    <row r="115" ht="15.75" customHeight="1">
      <c r="A115" s="5"/>
      <c r="B115" s="5"/>
      <c r="C115" s="5"/>
      <c r="D115" s="5"/>
      <c r="E115" s="5"/>
      <c r="F115" s="5"/>
      <c r="G115" s="112"/>
      <c r="H115" s="112"/>
      <c r="I115" s="112"/>
      <c r="J115" s="112"/>
      <c r="K115" s="112"/>
      <c r="L115" s="112"/>
      <c r="M115" s="112"/>
      <c r="N115" s="112"/>
      <c r="O115" s="112"/>
      <c r="P115" s="112"/>
      <c r="Q115" s="5"/>
      <c r="R115" s="5"/>
      <c r="S115" s="5"/>
      <c r="T115" s="5"/>
      <c r="U115" s="5"/>
      <c r="V115" s="5"/>
      <c r="W115" s="5"/>
      <c r="X115" s="5"/>
      <c r="Y115" s="5"/>
      <c r="Z115" s="5"/>
      <c r="AA115" s="5"/>
      <c r="AB115" s="5"/>
      <c r="AC115" s="5"/>
      <c r="AD115" s="5"/>
      <c r="AE115" s="5"/>
    </row>
    <row r="116" ht="15.75" customHeight="1">
      <c r="A116" s="5"/>
      <c r="B116" s="5"/>
      <c r="C116" s="5"/>
      <c r="D116" s="5"/>
      <c r="E116" s="5"/>
      <c r="F116" s="5"/>
      <c r="G116" s="112"/>
      <c r="H116" s="112"/>
      <c r="I116" s="112"/>
      <c r="J116" s="112"/>
      <c r="K116" s="112"/>
      <c r="L116" s="112"/>
      <c r="M116" s="112"/>
      <c r="N116" s="112"/>
      <c r="O116" s="112"/>
      <c r="P116" s="112"/>
      <c r="Q116" s="5"/>
      <c r="R116" s="5"/>
      <c r="S116" s="5"/>
      <c r="T116" s="5"/>
      <c r="U116" s="5"/>
      <c r="V116" s="5"/>
      <c r="W116" s="5"/>
      <c r="X116" s="5"/>
      <c r="Y116" s="5"/>
      <c r="Z116" s="5"/>
      <c r="AA116" s="5"/>
      <c r="AB116" s="5"/>
      <c r="AC116" s="5"/>
      <c r="AD116" s="5"/>
      <c r="AE116" s="5"/>
    </row>
    <row r="117" ht="15.75" customHeight="1">
      <c r="A117" s="5"/>
      <c r="B117" s="5"/>
      <c r="C117" s="5"/>
      <c r="D117" s="5"/>
      <c r="E117" s="5"/>
      <c r="F117" s="5"/>
      <c r="G117" s="112"/>
      <c r="H117" s="112"/>
      <c r="I117" s="112"/>
      <c r="J117" s="112"/>
      <c r="K117" s="112"/>
      <c r="L117" s="112"/>
      <c r="M117" s="112"/>
      <c r="N117" s="112"/>
      <c r="O117" s="112"/>
      <c r="P117" s="112"/>
      <c r="Q117" s="5"/>
      <c r="R117" s="5"/>
      <c r="S117" s="5"/>
      <c r="T117" s="5"/>
      <c r="U117" s="5"/>
      <c r="V117" s="5"/>
      <c r="W117" s="5"/>
      <c r="X117" s="5"/>
      <c r="Y117" s="5"/>
      <c r="Z117" s="5"/>
      <c r="AA117" s="5"/>
      <c r="AB117" s="5"/>
      <c r="AC117" s="5"/>
      <c r="AD117" s="5"/>
      <c r="AE117" s="5"/>
    </row>
    <row r="118" ht="15.75" customHeight="1">
      <c r="A118" s="5"/>
      <c r="B118" s="5"/>
      <c r="C118" s="5"/>
      <c r="D118" s="5"/>
      <c r="E118" s="5"/>
      <c r="F118" s="5"/>
      <c r="G118" s="112"/>
      <c r="H118" s="112"/>
      <c r="I118" s="112"/>
      <c r="J118" s="112"/>
      <c r="K118" s="112"/>
      <c r="L118" s="112"/>
      <c r="M118" s="112"/>
      <c r="N118" s="112"/>
      <c r="O118" s="112"/>
      <c r="P118" s="112"/>
      <c r="Q118" s="5"/>
      <c r="R118" s="5"/>
      <c r="S118" s="5"/>
      <c r="T118" s="5"/>
      <c r="U118" s="5"/>
      <c r="V118" s="5"/>
      <c r="W118" s="5"/>
      <c r="X118" s="5"/>
      <c r="Y118" s="5"/>
      <c r="Z118" s="5"/>
      <c r="AA118" s="5"/>
      <c r="AB118" s="5"/>
      <c r="AC118" s="5"/>
      <c r="AD118" s="5"/>
      <c r="AE118" s="5"/>
    </row>
    <row r="119" ht="15.75" customHeight="1">
      <c r="A119" s="5"/>
      <c r="B119" s="5"/>
      <c r="C119" s="5"/>
      <c r="D119" s="5"/>
      <c r="E119" s="5"/>
      <c r="F119" s="5"/>
      <c r="G119" s="112"/>
      <c r="H119" s="112"/>
      <c r="I119" s="112"/>
      <c r="J119" s="112"/>
      <c r="K119" s="112"/>
      <c r="L119" s="112"/>
      <c r="M119" s="112"/>
      <c r="N119" s="112"/>
      <c r="O119" s="112"/>
      <c r="P119" s="112"/>
      <c r="Q119" s="5"/>
      <c r="R119" s="5"/>
      <c r="S119" s="5"/>
      <c r="T119" s="5"/>
      <c r="U119" s="5"/>
      <c r="V119" s="5"/>
      <c r="W119" s="5"/>
      <c r="X119" s="5"/>
      <c r="Y119" s="5"/>
      <c r="Z119" s="5"/>
      <c r="AA119" s="5"/>
      <c r="AB119" s="5"/>
      <c r="AC119" s="5"/>
      <c r="AD119" s="5"/>
      <c r="AE119" s="5"/>
    </row>
    <row r="120" ht="15.75" customHeight="1">
      <c r="A120" s="5"/>
      <c r="B120" s="5"/>
      <c r="C120" s="5"/>
      <c r="D120" s="5"/>
      <c r="E120" s="5"/>
      <c r="F120" s="5"/>
      <c r="G120" s="112"/>
      <c r="H120" s="112"/>
      <c r="I120" s="112"/>
      <c r="J120" s="112"/>
      <c r="K120" s="112"/>
      <c r="L120" s="112"/>
      <c r="M120" s="112"/>
      <c r="N120" s="112"/>
      <c r="O120" s="112"/>
      <c r="P120" s="112"/>
      <c r="Q120" s="5"/>
      <c r="R120" s="5"/>
      <c r="S120" s="5"/>
      <c r="T120" s="5"/>
      <c r="U120" s="5"/>
      <c r="V120" s="5"/>
      <c r="W120" s="5"/>
      <c r="X120" s="5"/>
      <c r="Y120" s="5"/>
      <c r="Z120" s="5"/>
      <c r="AA120" s="5"/>
      <c r="AB120" s="5"/>
      <c r="AC120" s="5"/>
      <c r="AD120" s="5"/>
      <c r="AE120" s="5"/>
    </row>
    <row r="121" ht="15.75" customHeight="1">
      <c r="A121" s="5"/>
      <c r="B121" s="5"/>
      <c r="C121" s="5"/>
      <c r="D121" s="5"/>
      <c r="E121" s="5"/>
      <c r="F121" s="5"/>
      <c r="G121" s="112"/>
      <c r="H121" s="112"/>
      <c r="I121" s="112"/>
      <c r="J121" s="112"/>
      <c r="K121" s="112"/>
      <c r="L121" s="112"/>
      <c r="M121" s="112"/>
      <c r="N121" s="112"/>
      <c r="O121" s="112"/>
      <c r="P121" s="112"/>
      <c r="Q121" s="5"/>
      <c r="R121" s="5"/>
      <c r="S121" s="5"/>
      <c r="T121" s="5"/>
      <c r="U121" s="5"/>
      <c r="V121" s="5"/>
      <c r="W121" s="5"/>
      <c r="X121" s="5"/>
      <c r="Y121" s="5"/>
      <c r="Z121" s="5"/>
      <c r="AA121" s="5"/>
      <c r="AB121" s="5"/>
      <c r="AC121" s="5"/>
      <c r="AD121" s="5"/>
      <c r="AE121" s="5"/>
    </row>
    <row r="122" ht="15.75" customHeight="1">
      <c r="A122" s="5"/>
      <c r="B122" s="5"/>
      <c r="C122" s="5"/>
      <c r="D122" s="5"/>
      <c r="E122" s="5"/>
      <c r="F122" s="5"/>
      <c r="G122" s="112"/>
      <c r="H122" s="112"/>
      <c r="I122" s="112"/>
      <c r="J122" s="112"/>
      <c r="K122" s="112"/>
      <c r="L122" s="112"/>
      <c r="M122" s="112"/>
      <c r="N122" s="112"/>
      <c r="O122" s="112"/>
      <c r="P122" s="112"/>
      <c r="Q122" s="5"/>
      <c r="R122" s="5"/>
      <c r="S122" s="5"/>
      <c r="T122" s="5"/>
      <c r="U122" s="5"/>
      <c r="V122" s="5"/>
      <c r="W122" s="5"/>
      <c r="X122" s="5"/>
      <c r="Y122" s="5"/>
      <c r="Z122" s="5"/>
      <c r="AA122" s="5"/>
      <c r="AB122" s="5"/>
      <c r="AC122" s="5"/>
      <c r="AD122" s="5"/>
      <c r="AE122" s="5"/>
    </row>
    <row r="123" ht="15.75" customHeight="1">
      <c r="A123" s="5"/>
      <c r="B123" s="5"/>
      <c r="C123" s="5"/>
      <c r="D123" s="5"/>
      <c r="E123" s="5"/>
      <c r="F123" s="5"/>
      <c r="G123" s="112"/>
      <c r="H123" s="112"/>
      <c r="I123" s="112"/>
      <c r="J123" s="112"/>
      <c r="K123" s="112"/>
      <c r="L123" s="112"/>
      <c r="M123" s="112"/>
      <c r="N123" s="112"/>
      <c r="O123" s="112"/>
      <c r="P123" s="112"/>
      <c r="Q123" s="5"/>
      <c r="R123" s="5"/>
      <c r="S123" s="5"/>
      <c r="T123" s="5"/>
      <c r="U123" s="5"/>
      <c r="V123" s="5"/>
      <c r="W123" s="5"/>
      <c r="X123" s="5"/>
      <c r="Y123" s="5"/>
      <c r="Z123" s="5"/>
      <c r="AA123" s="5"/>
      <c r="AB123" s="5"/>
      <c r="AC123" s="5"/>
      <c r="AD123" s="5"/>
      <c r="AE123" s="5"/>
    </row>
    <row r="124" ht="15.75" customHeight="1">
      <c r="A124" s="5"/>
      <c r="B124" s="5"/>
      <c r="C124" s="5"/>
      <c r="D124" s="5"/>
      <c r="E124" s="5"/>
      <c r="F124" s="5"/>
      <c r="G124" s="112"/>
      <c r="H124" s="112"/>
      <c r="I124" s="112"/>
      <c r="J124" s="112"/>
      <c r="K124" s="112"/>
      <c r="L124" s="112"/>
      <c r="M124" s="112"/>
      <c r="N124" s="112"/>
      <c r="O124" s="112"/>
      <c r="P124" s="112"/>
      <c r="Q124" s="5"/>
      <c r="R124" s="5"/>
      <c r="S124" s="5"/>
      <c r="T124" s="5"/>
      <c r="U124" s="5"/>
      <c r="V124" s="5"/>
      <c r="W124" s="5"/>
      <c r="X124" s="5"/>
      <c r="Y124" s="5"/>
      <c r="Z124" s="5"/>
      <c r="AA124" s="5"/>
      <c r="AB124" s="5"/>
      <c r="AC124" s="5"/>
      <c r="AD124" s="5"/>
      <c r="AE124" s="5"/>
    </row>
    <row r="125" ht="15.75" customHeight="1">
      <c r="A125" s="5"/>
      <c r="B125" s="5"/>
      <c r="C125" s="5"/>
      <c r="D125" s="5"/>
      <c r="E125" s="5"/>
      <c r="F125" s="5"/>
      <c r="G125" s="112"/>
      <c r="H125" s="112"/>
      <c r="I125" s="112"/>
      <c r="J125" s="112"/>
      <c r="K125" s="112"/>
      <c r="L125" s="112"/>
      <c r="M125" s="112"/>
      <c r="N125" s="112"/>
      <c r="O125" s="112"/>
      <c r="P125" s="112"/>
      <c r="Q125" s="5"/>
      <c r="R125" s="5"/>
      <c r="S125" s="5"/>
      <c r="T125" s="5"/>
      <c r="U125" s="5"/>
      <c r="V125" s="5"/>
      <c r="W125" s="5"/>
      <c r="X125" s="5"/>
      <c r="Y125" s="5"/>
      <c r="Z125" s="5"/>
      <c r="AA125" s="5"/>
      <c r="AB125" s="5"/>
      <c r="AC125" s="5"/>
      <c r="AD125" s="5"/>
      <c r="AE125" s="5"/>
    </row>
    <row r="126" ht="15.75" customHeight="1">
      <c r="A126" s="5"/>
      <c r="B126" s="5"/>
      <c r="C126" s="5"/>
      <c r="D126" s="5"/>
      <c r="E126" s="5"/>
      <c r="F126" s="5"/>
      <c r="G126" s="112"/>
      <c r="H126" s="112"/>
      <c r="I126" s="112"/>
      <c r="J126" s="112"/>
      <c r="K126" s="112"/>
      <c r="L126" s="112"/>
      <c r="M126" s="112"/>
      <c r="N126" s="112"/>
      <c r="O126" s="112"/>
      <c r="P126" s="112"/>
      <c r="Q126" s="5"/>
      <c r="R126" s="5"/>
      <c r="S126" s="5"/>
      <c r="T126" s="5"/>
      <c r="U126" s="5"/>
      <c r="V126" s="5"/>
      <c r="W126" s="5"/>
      <c r="X126" s="5"/>
      <c r="Y126" s="5"/>
      <c r="Z126" s="5"/>
      <c r="AA126" s="5"/>
      <c r="AB126" s="5"/>
      <c r="AC126" s="5"/>
      <c r="AD126" s="5"/>
      <c r="AE126" s="5"/>
    </row>
    <row r="127" ht="15.75" customHeight="1">
      <c r="A127" s="5"/>
      <c r="B127" s="5"/>
      <c r="C127" s="5"/>
      <c r="D127" s="5"/>
      <c r="E127" s="5"/>
      <c r="F127" s="5"/>
      <c r="G127" s="112"/>
      <c r="H127" s="112"/>
      <c r="I127" s="112"/>
      <c r="J127" s="112"/>
      <c r="K127" s="112"/>
      <c r="L127" s="112"/>
      <c r="M127" s="112"/>
      <c r="N127" s="112"/>
      <c r="O127" s="112"/>
      <c r="P127" s="112"/>
      <c r="Q127" s="5"/>
      <c r="R127" s="5"/>
      <c r="S127" s="5"/>
      <c r="T127" s="5"/>
      <c r="U127" s="5"/>
      <c r="V127" s="5"/>
      <c r="W127" s="5"/>
      <c r="X127" s="5"/>
      <c r="Y127" s="5"/>
      <c r="Z127" s="5"/>
      <c r="AA127" s="5"/>
      <c r="AB127" s="5"/>
      <c r="AC127" s="5"/>
      <c r="AD127" s="5"/>
      <c r="AE127" s="5"/>
    </row>
    <row r="128" ht="15.75" customHeight="1">
      <c r="A128" s="5"/>
      <c r="B128" s="5"/>
      <c r="C128" s="5"/>
      <c r="D128" s="5"/>
      <c r="E128" s="5"/>
      <c r="F128" s="5"/>
      <c r="G128" s="112"/>
      <c r="H128" s="112"/>
      <c r="I128" s="112"/>
      <c r="J128" s="112"/>
      <c r="K128" s="112"/>
      <c r="L128" s="112"/>
      <c r="M128" s="112"/>
      <c r="N128" s="112"/>
      <c r="O128" s="112"/>
      <c r="P128" s="112"/>
      <c r="Q128" s="5"/>
      <c r="R128" s="5"/>
      <c r="S128" s="5"/>
      <c r="T128" s="5"/>
      <c r="U128" s="5"/>
      <c r="V128" s="5"/>
      <c r="W128" s="5"/>
      <c r="X128" s="5"/>
      <c r="Y128" s="5"/>
      <c r="Z128" s="5"/>
      <c r="AA128" s="5"/>
      <c r="AB128" s="5"/>
      <c r="AC128" s="5"/>
      <c r="AD128" s="5"/>
      <c r="AE128" s="5"/>
    </row>
    <row r="129" ht="15.75" customHeight="1">
      <c r="A129" s="5"/>
      <c r="B129" s="5"/>
      <c r="C129" s="5"/>
      <c r="D129" s="5"/>
      <c r="E129" s="5"/>
      <c r="F129" s="5"/>
      <c r="G129" s="112"/>
      <c r="H129" s="112"/>
      <c r="I129" s="112"/>
      <c r="J129" s="112"/>
      <c r="K129" s="112"/>
      <c r="L129" s="112"/>
      <c r="M129" s="112"/>
      <c r="N129" s="112"/>
      <c r="O129" s="112"/>
      <c r="P129" s="112"/>
      <c r="Q129" s="5"/>
      <c r="R129" s="5"/>
      <c r="S129" s="5"/>
      <c r="T129" s="5"/>
      <c r="U129" s="5"/>
      <c r="V129" s="5"/>
      <c r="W129" s="5"/>
      <c r="X129" s="5"/>
      <c r="Y129" s="5"/>
      <c r="Z129" s="5"/>
      <c r="AA129" s="5"/>
      <c r="AB129" s="5"/>
      <c r="AC129" s="5"/>
      <c r="AD129" s="5"/>
      <c r="AE129" s="5"/>
    </row>
    <row r="130" ht="15.75" customHeight="1">
      <c r="A130" s="5"/>
      <c r="B130" s="5"/>
      <c r="C130" s="5"/>
      <c r="D130" s="5"/>
      <c r="E130" s="5"/>
      <c r="F130" s="5"/>
      <c r="G130" s="112"/>
      <c r="H130" s="112"/>
      <c r="I130" s="112"/>
      <c r="J130" s="112"/>
      <c r="K130" s="112"/>
      <c r="L130" s="112"/>
      <c r="M130" s="112"/>
      <c r="N130" s="112"/>
      <c r="O130" s="112"/>
      <c r="P130" s="112"/>
      <c r="Q130" s="5"/>
      <c r="R130" s="5"/>
      <c r="S130" s="5"/>
      <c r="T130" s="5"/>
      <c r="U130" s="5"/>
      <c r="V130" s="5"/>
      <c r="W130" s="5"/>
      <c r="X130" s="5"/>
      <c r="Y130" s="5"/>
      <c r="Z130" s="5"/>
      <c r="AA130" s="5"/>
      <c r="AB130" s="5"/>
      <c r="AC130" s="5"/>
      <c r="AD130" s="5"/>
      <c r="AE130" s="5"/>
    </row>
    <row r="131" ht="15.75" customHeight="1">
      <c r="A131" s="5"/>
      <c r="B131" s="5"/>
      <c r="C131" s="5"/>
      <c r="D131" s="5"/>
      <c r="E131" s="5"/>
      <c r="F131" s="5"/>
      <c r="G131" s="112"/>
      <c r="H131" s="112"/>
      <c r="I131" s="112"/>
      <c r="J131" s="112"/>
      <c r="K131" s="112"/>
      <c r="L131" s="112"/>
      <c r="M131" s="112"/>
      <c r="N131" s="112"/>
      <c r="O131" s="112"/>
      <c r="P131" s="112"/>
      <c r="Q131" s="5"/>
      <c r="R131" s="5"/>
      <c r="S131" s="5"/>
      <c r="T131" s="5"/>
      <c r="U131" s="5"/>
      <c r="V131" s="5"/>
      <c r="W131" s="5"/>
      <c r="X131" s="5"/>
      <c r="Y131" s="5"/>
      <c r="Z131" s="5"/>
      <c r="AA131" s="5"/>
      <c r="AB131" s="5"/>
      <c r="AC131" s="5"/>
      <c r="AD131" s="5"/>
      <c r="AE131" s="5"/>
    </row>
    <row r="132" ht="15.75" customHeight="1">
      <c r="A132" s="5"/>
      <c r="B132" s="5"/>
      <c r="C132" s="5"/>
      <c r="D132" s="5"/>
      <c r="E132" s="5"/>
      <c r="F132" s="5"/>
      <c r="G132" s="112"/>
      <c r="H132" s="112"/>
      <c r="I132" s="112"/>
      <c r="J132" s="112"/>
      <c r="K132" s="112"/>
      <c r="L132" s="112"/>
      <c r="M132" s="112"/>
      <c r="N132" s="112"/>
      <c r="O132" s="112"/>
      <c r="P132" s="112"/>
      <c r="Q132" s="5"/>
      <c r="R132" s="5"/>
      <c r="S132" s="5"/>
      <c r="T132" s="5"/>
      <c r="U132" s="5"/>
      <c r="V132" s="5"/>
      <c r="W132" s="5"/>
      <c r="X132" s="5"/>
      <c r="Y132" s="5"/>
      <c r="Z132" s="5"/>
      <c r="AA132" s="5"/>
      <c r="AB132" s="5"/>
      <c r="AC132" s="5"/>
      <c r="AD132" s="5"/>
      <c r="AE132" s="5"/>
    </row>
    <row r="133" ht="15.75" customHeight="1">
      <c r="A133" s="5"/>
      <c r="B133" s="5"/>
      <c r="C133" s="5"/>
      <c r="D133" s="5"/>
      <c r="E133" s="5"/>
      <c r="F133" s="5"/>
      <c r="G133" s="112"/>
      <c r="H133" s="112"/>
      <c r="I133" s="112"/>
      <c r="J133" s="112"/>
      <c r="K133" s="112"/>
      <c r="L133" s="112"/>
      <c r="M133" s="112"/>
      <c r="N133" s="112"/>
      <c r="O133" s="112"/>
      <c r="P133" s="112"/>
      <c r="Q133" s="5"/>
      <c r="R133" s="5"/>
      <c r="S133" s="5"/>
      <c r="T133" s="5"/>
      <c r="U133" s="5"/>
      <c r="V133" s="5"/>
      <c r="W133" s="5"/>
      <c r="X133" s="5"/>
      <c r="Y133" s="5"/>
      <c r="Z133" s="5"/>
      <c r="AA133" s="5"/>
      <c r="AB133" s="5"/>
      <c r="AC133" s="5"/>
      <c r="AD133" s="5"/>
      <c r="AE133" s="5"/>
    </row>
    <row r="134" ht="15.75" customHeight="1">
      <c r="A134" s="5"/>
      <c r="B134" s="5"/>
      <c r="C134" s="5"/>
      <c r="D134" s="5"/>
      <c r="E134" s="5"/>
      <c r="F134" s="5"/>
      <c r="G134" s="112"/>
      <c r="H134" s="112"/>
      <c r="I134" s="112"/>
      <c r="J134" s="112"/>
      <c r="K134" s="112"/>
      <c r="L134" s="112"/>
      <c r="M134" s="112"/>
      <c r="N134" s="112"/>
      <c r="O134" s="112"/>
      <c r="P134" s="112"/>
      <c r="Q134" s="5"/>
      <c r="R134" s="5"/>
      <c r="S134" s="5"/>
      <c r="T134" s="5"/>
      <c r="U134" s="5"/>
      <c r="V134" s="5"/>
      <c r="W134" s="5"/>
      <c r="X134" s="5"/>
      <c r="Y134" s="5"/>
      <c r="Z134" s="5"/>
      <c r="AA134" s="5"/>
      <c r="AB134" s="5"/>
      <c r="AC134" s="5"/>
      <c r="AD134" s="5"/>
      <c r="AE134" s="5"/>
    </row>
    <row r="135" ht="15.75" customHeight="1">
      <c r="A135" s="5"/>
      <c r="B135" s="5"/>
      <c r="C135" s="5"/>
      <c r="D135" s="5"/>
      <c r="E135" s="5"/>
      <c r="F135" s="5"/>
      <c r="G135" s="112"/>
      <c r="H135" s="112"/>
      <c r="I135" s="112"/>
      <c r="J135" s="112"/>
      <c r="K135" s="112"/>
      <c r="L135" s="112"/>
      <c r="M135" s="112"/>
      <c r="N135" s="112"/>
      <c r="O135" s="112"/>
      <c r="P135" s="112"/>
      <c r="Q135" s="5"/>
      <c r="R135" s="5"/>
      <c r="S135" s="5"/>
      <c r="T135" s="5"/>
      <c r="U135" s="5"/>
      <c r="V135" s="5"/>
      <c r="W135" s="5"/>
      <c r="X135" s="5"/>
      <c r="Y135" s="5"/>
      <c r="Z135" s="5"/>
      <c r="AA135" s="5"/>
      <c r="AB135" s="5"/>
      <c r="AC135" s="5"/>
      <c r="AD135" s="5"/>
      <c r="AE135" s="5"/>
    </row>
    <row r="136" ht="15.75" customHeight="1">
      <c r="A136" s="5"/>
      <c r="B136" s="5"/>
      <c r="C136" s="5"/>
      <c r="D136" s="5"/>
      <c r="E136" s="5"/>
      <c r="F136" s="5"/>
      <c r="G136" s="112"/>
      <c r="H136" s="112"/>
      <c r="I136" s="112"/>
      <c r="J136" s="112"/>
      <c r="K136" s="112"/>
      <c r="L136" s="112"/>
      <c r="M136" s="112"/>
      <c r="N136" s="112"/>
      <c r="O136" s="112"/>
      <c r="P136" s="112"/>
      <c r="Q136" s="5"/>
      <c r="R136" s="5"/>
      <c r="S136" s="5"/>
      <c r="T136" s="5"/>
      <c r="U136" s="5"/>
      <c r="V136" s="5"/>
      <c r="W136" s="5"/>
      <c r="X136" s="5"/>
      <c r="Y136" s="5"/>
      <c r="Z136" s="5"/>
      <c r="AA136" s="5"/>
      <c r="AB136" s="5"/>
      <c r="AC136" s="5"/>
      <c r="AD136" s="5"/>
      <c r="AE136" s="5"/>
    </row>
    <row r="137" ht="15.75" customHeight="1">
      <c r="A137" s="5"/>
      <c r="B137" s="5"/>
      <c r="C137" s="5"/>
      <c r="D137" s="5"/>
      <c r="E137" s="5"/>
      <c r="F137" s="5"/>
      <c r="G137" s="112"/>
      <c r="H137" s="112"/>
      <c r="I137" s="112"/>
      <c r="J137" s="112"/>
      <c r="K137" s="112"/>
      <c r="L137" s="112"/>
      <c r="M137" s="112"/>
      <c r="N137" s="112"/>
      <c r="O137" s="112"/>
      <c r="P137" s="112"/>
      <c r="Q137" s="5"/>
      <c r="R137" s="5"/>
      <c r="S137" s="5"/>
      <c r="T137" s="5"/>
      <c r="U137" s="5"/>
      <c r="V137" s="5"/>
      <c r="W137" s="5"/>
      <c r="X137" s="5"/>
      <c r="Y137" s="5"/>
      <c r="Z137" s="5"/>
      <c r="AA137" s="5"/>
      <c r="AB137" s="5"/>
      <c r="AC137" s="5"/>
      <c r="AD137" s="5"/>
      <c r="AE137" s="5"/>
    </row>
    <row r="138" ht="15.75" customHeight="1">
      <c r="A138" s="5"/>
      <c r="B138" s="5"/>
      <c r="C138" s="5"/>
      <c r="D138" s="5"/>
      <c r="E138" s="5"/>
      <c r="F138" s="5"/>
      <c r="G138" s="112"/>
      <c r="H138" s="112"/>
      <c r="I138" s="112"/>
      <c r="J138" s="112"/>
      <c r="K138" s="112"/>
      <c r="L138" s="112"/>
      <c r="M138" s="112"/>
      <c r="N138" s="112"/>
      <c r="O138" s="112"/>
      <c r="P138" s="112"/>
      <c r="Q138" s="5"/>
      <c r="R138" s="5"/>
      <c r="S138" s="5"/>
      <c r="T138" s="5"/>
      <c r="U138" s="5"/>
      <c r="V138" s="5"/>
      <c r="W138" s="5"/>
      <c r="X138" s="5"/>
      <c r="Y138" s="5"/>
      <c r="Z138" s="5"/>
      <c r="AA138" s="5"/>
      <c r="AB138" s="5"/>
      <c r="AC138" s="5"/>
      <c r="AD138" s="5"/>
      <c r="AE138" s="5"/>
    </row>
    <row r="139" ht="15.75" customHeight="1">
      <c r="A139" s="5"/>
      <c r="B139" s="5"/>
      <c r="C139" s="5"/>
      <c r="D139" s="5"/>
      <c r="E139" s="5"/>
      <c r="F139" s="5"/>
      <c r="G139" s="112"/>
      <c r="H139" s="112"/>
      <c r="I139" s="112"/>
      <c r="J139" s="112"/>
      <c r="K139" s="112"/>
      <c r="L139" s="112"/>
      <c r="M139" s="112"/>
      <c r="N139" s="112"/>
      <c r="O139" s="112"/>
      <c r="P139" s="112"/>
      <c r="Q139" s="5"/>
      <c r="R139" s="5"/>
      <c r="S139" s="5"/>
      <c r="T139" s="5"/>
      <c r="U139" s="5"/>
      <c r="V139" s="5"/>
      <c r="W139" s="5"/>
      <c r="X139" s="5"/>
      <c r="Y139" s="5"/>
      <c r="Z139" s="5"/>
      <c r="AA139" s="5"/>
      <c r="AB139" s="5"/>
      <c r="AC139" s="5"/>
      <c r="AD139" s="5"/>
      <c r="AE139" s="5"/>
    </row>
    <row r="140" ht="15.75" customHeight="1">
      <c r="A140" s="5"/>
      <c r="B140" s="5"/>
      <c r="C140" s="5"/>
      <c r="D140" s="5"/>
      <c r="E140" s="5"/>
      <c r="F140" s="5"/>
      <c r="G140" s="112"/>
      <c r="H140" s="112"/>
      <c r="I140" s="112"/>
      <c r="J140" s="112"/>
      <c r="K140" s="112"/>
      <c r="L140" s="112"/>
      <c r="M140" s="112"/>
      <c r="N140" s="112"/>
      <c r="O140" s="112"/>
      <c r="P140" s="112"/>
      <c r="Q140" s="5"/>
      <c r="R140" s="5"/>
      <c r="S140" s="5"/>
      <c r="T140" s="5"/>
      <c r="U140" s="5"/>
      <c r="V140" s="5"/>
      <c r="W140" s="5"/>
      <c r="X140" s="5"/>
      <c r="Y140" s="5"/>
      <c r="Z140" s="5"/>
      <c r="AA140" s="5"/>
      <c r="AB140" s="5"/>
      <c r="AC140" s="5"/>
      <c r="AD140" s="5"/>
      <c r="AE140" s="5"/>
    </row>
    <row r="141" ht="15.75" customHeight="1">
      <c r="A141" s="5"/>
      <c r="B141" s="5"/>
      <c r="C141" s="5"/>
      <c r="D141" s="5"/>
      <c r="E141" s="5"/>
      <c r="F141" s="5"/>
      <c r="G141" s="112"/>
      <c r="H141" s="112"/>
      <c r="I141" s="112"/>
      <c r="J141" s="112"/>
      <c r="K141" s="112"/>
      <c r="L141" s="112"/>
      <c r="M141" s="112"/>
      <c r="N141" s="112"/>
      <c r="O141" s="112"/>
      <c r="P141" s="112"/>
      <c r="Q141" s="5"/>
      <c r="R141" s="5"/>
      <c r="S141" s="5"/>
      <c r="T141" s="5"/>
      <c r="U141" s="5"/>
      <c r="V141" s="5"/>
      <c r="W141" s="5"/>
      <c r="X141" s="5"/>
      <c r="Y141" s="5"/>
      <c r="Z141" s="5"/>
      <c r="AA141" s="5"/>
      <c r="AB141" s="5"/>
      <c r="AC141" s="5"/>
      <c r="AD141" s="5"/>
      <c r="AE141" s="5"/>
    </row>
    <row r="142" ht="15.75" customHeight="1">
      <c r="A142" s="5"/>
      <c r="B142" s="5"/>
      <c r="C142" s="5"/>
      <c r="D142" s="5"/>
      <c r="E142" s="5"/>
      <c r="F142" s="5"/>
      <c r="G142" s="112"/>
      <c r="H142" s="112"/>
      <c r="I142" s="112"/>
      <c r="J142" s="112"/>
      <c r="K142" s="112"/>
      <c r="L142" s="112"/>
      <c r="M142" s="112"/>
      <c r="N142" s="112"/>
      <c r="O142" s="112"/>
      <c r="P142" s="112"/>
      <c r="Q142" s="5"/>
      <c r="R142" s="5"/>
      <c r="S142" s="5"/>
      <c r="T142" s="5"/>
      <c r="U142" s="5"/>
      <c r="V142" s="5"/>
      <c r="W142" s="5"/>
      <c r="X142" s="5"/>
      <c r="Y142" s="5"/>
      <c r="Z142" s="5"/>
      <c r="AA142" s="5"/>
      <c r="AB142" s="5"/>
      <c r="AC142" s="5"/>
      <c r="AD142" s="5"/>
      <c r="AE142" s="5"/>
    </row>
    <row r="143" ht="15.75" customHeight="1">
      <c r="A143" s="5"/>
      <c r="B143" s="5"/>
      <c r="C143" s="5"/>
      <c r="D143" s="5"/>
      <c r="E143" s="5"/>
      <c r="F143" s="5"/>
      <c r="G143" s="112"/>
      <c r="H143" s="112"/>
      <c r="I143" s="112"/>
      <c r="J143" s="112"/>
      <c r="K143" s="112"/>
      <c r="L143" s="112"/>
      <c r="M143" s="112"/>
      <c r="N143" s="112"/>
      <c r="O143" s="112"/>
      <c r="P143" s="112"/>
      <c r="Q143" s="5"/>
      <c r="R143" s="5"/>
      <c r="S143" s="5"/>
      <c r="T143" s="5"/>
      <c r="U143" s="5"/>
      <c r="V143" s="5"/>
      <c r="W143" s="5"/>
      <c r="X143" s="5"/>
      <c r="Y143" s="5"/>
      <c r="Z143" s="5"/>
      <c r="AA143" s="5"/>
      <c r="AB143" s="5"/>
      <c r="AC143" s="5"/>
      <c r="AD143" s="5"/>
      <c r="AE143" s="5"/>
    </row>
    <row r="144" ht="15.75" customHeight="1">
      <c r="A144" s="5"/>
      <c r="B144" s="5"/>
      <c r="C144" s="5"/>
      <c r="D144" s="5"/>
      <c r="E144" s="5"/>
      <c r="F144" s="5"/>
      <c r="G144" s="112"/>
      <c r="H144" s="112"/>
      <c r="I144" s="112"/>
      <c r="J144" s="112"/>
      <c r="K144" s="112"/>
      <c r="L144" s="112"/>
      <c r="M144" s="112"/>
      <c r="N144" s="112"/>
      <c r="O144" s="112"/>
      <c r="P144" s="112"/>
      <c r="Q144" s="5"/>
      <c r="R144" s="5"/>
      <c r="S144" s="5"/>
      <c r="T144" s="5"/>
      <c r="U144" s="5"/>
      <c r="V144" s="5"/>
      <c r="W144" s="5"/>
      <c r="X144" s="5"/>
      <c r="Y144" s="5"/>
      <c r="Z144" s="5"/>
      <c r="AA144" s="5"/>
      <c r="AB144" s="5"/>
      <c r="AC144" s="5"/>
      <c r="AD144" s="5"/>
      <c r="AE144" s="5"/>
    </row>
    <row r="145" ht="15.75" customHeight="1">
      <c r="A145" s="5"/>
      <c r="B145" s="5"/>
      <c r="C145" s="5"/>
      <c r="D145" s="5"/>
      <c r="E145" s="5"/>
      <c r="F145" s="5"/>
      <c r="G145" s="112"/>
      <c r="H145" s="112"/>
      <c r="I145" s="112"/>
      <c r="J145" s="112"/>
      <c r="K145" s="112"/>
      <c r="L145" s="112"/>
      <c r="M145" s="112"/>
      <c r="N145" s="112"/>
      <c r="O145" s="112"/>
      <c r="P145" s="112"/>
      <c r="Q145" s="5"/>
      <c r="R145" s="5"/>
      <c r="S145" s="5"/>
      <c r="T145" s="5"/>
      <c r="U145" s="5"/>
      <c r="V145" s="5"/>
      <c r="W145" s="5"/>
      <c r="X145" s="5"/>
      <c r="Y145" s="5"/>
      <c r="Z145" s="5"/>
      <c r="AA145" s="5"/>
      <c r="AB145" s="5"/>
      <c r="AC145" s="5"/>
      <c r="AD145" s="5"/>
      <c r="AE145" s="5"/>
    </row>
    <row r="146" ht="15.75" customHeight="1">
      <c r="A146" s="5"/>
      <c r="B146" s="5"/>
      <c r="C146" s="5"/>
      <c r="D146" s="5"/>
      <c r="E146" s="5"/>
      <c r="F146" s="5"/>
      <c r="G146" s="112"/>
      <c r="H146" s="112"/>
      <c r="I146" s="112"/>
      <c r="J146" s="112"/>
      <c r="K146" s="112"/>
      <c r="L146" s="112"/>
      <c r="M146" s="112"/>
      <c r="N146" s="112"/>
      <c r="O146" s="112"/>
      <c r="P146" s="112"/>
      <c r="Q146" s="5"/>
      <c r="R146" s="5"/>
      <c r="S146" s="5"/>
      <c r="T146" s="5"/>
      <c r="U146" s="5"/>
      <c r="V146" s="5"/>
      <c r="W146" s="5"/>
      <c r="X146" s="5"/>
      <c r="Y146" s="5"/>
      <c r="Z146" s="5"/>
      <c r="AA146" s="5"/>
      <c r="AB146" s="5"/>
      <c r="AC146" s="5"/>
      <c r="AD146" s="5"/>
      <c r="AE146" s="5"/>
    </row>
    <row r="147" ht="15.75" customHeight="1">
      <c r="A147" s="5"/>
      <c r="B147" s="5"/>
      <c r="C147" s="5"/>
      <c r="D147" s="5"/>
      <c r="E147" s="5"/>
      <c r="F147" s="5"/>
      <c r="G147" s="112"/>
      <c r="H147" s="112"/>
      <c r="I147" s="112"/>
      <c r="J147" s="112"/>
      <c r="K147" s="112"/>
      <c r="L147" s="112"/>
      <c r="M147" s="112"/>
      <c r="N147" s="112"/>
      <c r="O147" s="112"/>
      <c r="P147" s="112"/>
      <c r="Q147" s="5"/>
      <c r="R147" s="5"/>
      <c r="S147" s="5"/>
      <c r="T147" s="5"/>
      <c r="U147" s="5"/>
      <c r="V147" s="5"/>
      <c r="W147" s="5"/>
      <c r="X147" s="5"/>
      <c r="Y147" s="5"/>
      <c r="Z147" s="5"/>
      <c r="AA147" s="5"/>
      <c r="AB147" s="5"/>
      <c r="AC147" s="5"/>
      <c r="AD147" s="5"/>
      <c r="AE147" s="5"/>
    </row>
    <row r="148" ht="15.75" customHeight="1">
      <c r="A148" s="5"/>
      <c r="B148" s="5"/>
      <c r="C148" s="5"/>
      <c r="D148" s="5"/>
      <c r="E148" s="5"/>
      <c r="F148" s="5"/>
      <c r="G148" s="112"/>
      <c r="H148" s="112"/>
      <c r="I148" s="112"/>
      <c r="J148" s="112"/>
      <c r="K148" s="112"/>
      <c r="L148" s="112"/>
      <c r="M148" s="112"/>
      <c r="N148" s="112"/>
      <c r="O148" s="112"/>
      <c r="P148" s="112"/>
      <c r="Q148" s="5"/>
      <c r="R148" s="5"/>
      <c r="S148" s="5"/>
      <c r="T148" s="5"/>
      <c r="U148" s="5"/>
      <c r="V148" s="5"/>
      <c r="W148" s="5"/>
      <c r="X148" s="5"/>
      <c r="Y148" s="5"/>
      <c r="Z148" s="5"/>
      <c r="AA148" s="5"/>
      <c r="AB148" s="5"/>
      <c r="AC148" s="5"/>
      <c r="AD148" s="5"/>
      <c r="AE148" s="5"/>
    </row>
    <row r="149" ht="15.75" customHeight="1">
      <c r="A149" s="5"/>
      <c r="B149" s="5"/>
      <c r="C149" s="5"/>
      <c r="D149" s="5"/>
      <c r="E149" s="5"/>
      <c r="F149" s="5"/>
      <c r="G149" s="112"/>
      <c r="H149" s="112"/>
      <c r="I149" s="112"/>
      <c r="J149" s="112"/>
      <c r="K149" s="112"/>
      <c r="L149" s="112"/>
      <c r="M149" s="112"/>
      <c r="N149" s="112"/>
      <c r="O149" s="112"/>
      <c r="P149" s="112"/>
      <c r="Q149" s="5"/>
      <c r="R149" s="5"/>
      <c r="S149" s="5"/>
      <c r="T149" s="5"/>
      <c r="U149" s="5"/>
      <c r="V149" s="5"/>
      <c r="W149" s="5"/>
      <c r="X149" s="5"/>
      <c r="Y149" s="5"/>
      <c r="Z149" s="5"/>
      <c r="AA149" s="5"/>
      <c r="AB149" s="5"/>
      <c r="AC149" s="5"/>
      <c r="AD149" s="5"/>
      <c r="AE149" s="5"/>
    </row>
    <row r="150" ht="15.75" customHeight="1">
      <c r="A150" s="5"/>
      <c r="B150" s="5"/>
      <c r="C150" s="5"/>
      <c r="D150" s="5"/>
      <c r="E150" s="5"/>
      <c r="F150" s="5"/>
      <c r="G150" s="112"/>
      <c r="H150" s="112"/>
      <c r="I150" s="112"/>
      <c r="J150" s="112"/>
      <c r="K150" s="112"/>
      <c r="L150" s="112"/>
      <c r="M150" s="112"/>
      <c r="N150" s="112"/>
      <c r="O150" s="112"/>
      <c r="P150" s="112"/>
      <c r="Q150" s="5"/>
      <c r="R150" s="5"/>
      <c r="S150" s="5"/>
      <c r="T150" s="5"/>
      <c r="U150" s="5"/>
      <c r="V150" s="5"/>
      <c r="W150" s="5"/>
      <c r="X150" s="5"/>
      <c r="Y150" s="5"/>
      <c r="Z150" s="5"/>
      <c r="AA150" s="5"/>
      <c r="AB150" s="5"/>
      <c r="AC150" s="5"/>
      <c r="AD150" s="5"/>
      <c r="AE150" s="5"/>
    </row>
    <row r="151" ht="15.75" customHeight="1">
      <c r="A151" s="5"/>
      <c r="B151" s="5"/>
      <c r="C151" s="5"/>
      <c r="D151" s="5"/>
      <c r="E151" s="5"/>
      <c r="F151" s="5"/>
      <c r="G151" s="112"/>
      <c r="H151" s="112"/>
      <c r="I151" s="112"/>
      <c r="J151" s="112"/>
      <c r="K151" s="112"/>
      <c r="L151" s="112"/>
      <c r="M151" s="112"/>
      <c r="N151" s="112"/>
      <c r="O151" s="112"/>
      <c r="P151" s="112"/>
      <c r="Q151" s="5"/>
      <c r="R151" s="5"/>
      <c r="S151" s="5"/>
      <c r="T151" s="5"/>
      <c r="U151" s="5"/>
      <c r="V151" s="5"/>
      <c r="W151" s="5"/>
      <c r="X151" s="5"/>
      <c r="Y151" s="5"/>
      <c r="Z151" s="5"/>
      <c r="AA151" s="5"/>
      <c r="AB151" s="5"/>
      <c r="AC151" s="5"/>
      <c r="AD151" s="5"/>
      <c r="AE151" s="5"/>
    </row>
    <row r="152" ht="15.75" customHeight="1">
      <c r="A152" s="5"/>
      <c r="B152" s="5"/>
      <c r="C152" s="5"/>
      <c r="D152" s="5"/>
      <c r="E152" s="5"/>
      <c r="F152" s="5"/>
      <c r="G152" s="112"/>
      <c r="H152" s="112"/>
      <c r="I152" s="112"/>
      <c r="J152" s="112"/>
      <c r="K152" s="112"/>
      <c r="L152" s="112"/>
      <c r="M152" s="112"/>
      <c r="N152" s="112"/>
      <c r="O152" s="112"/>
      <c r="P152" s="112"/>
      <c r="Q152" s="5"/>
      <c r="R152" s="5"/>
      <c r="S152" s="5"/>
      <c r="T152" s="5"/>
      <c r="U152" s="5"/>
      <c r="V152" s="5"/>
      <c r="W152" s="5"/>
      <c r="X152" s="5"/>
      <c r="Y152" s="5"/>
      <c r="Z152" s="5"/>
      <c r="AA152" s="5"/>
      <c r="AB152" s="5"/>
      <c r="AC152" s="5"/>
      <c r="AD152" s="5"/>
      <c r="AE152" s="5"/>
    </row>
    <row r="153" ht="15.75" customHeight="1">
      <c r="A153" s="5"/>
      <c r="B153" s="5"/>
      <c r="C153" s="5"/>
      <c r="D153" s="5"/>
      <c r="E153" s="5"/>
      <c r="F153" s="5"/>
      <c r="G153" s="112"/>
      <c r="H153" s="112"/>
      <c r="I153" s="112"/>
      <c r="J153" s="112"/>
      <c r="K153" s="112"/>
      <c r="L153" s="112"/>
      <c r="M153" s="112"/>
      <c r="N153" s="112"/>
      <c r="O153" s="112"/>
      <c r="P153" s="112"/>
      <c r="Q153" s="5"/>
      <c r="R153" s="5"/>
      <c r="S153" s="5"/>
      <c r="T153" s="5"/>
      <c r="U153" s="5"/>
      <c r="V153" s="5"/>
      <c r="W153" s="5"/>
      <c r="X153" s="5"/>
      <c r="Y153" s="5"/>
      <c r="Z153" s="5"/>
      <c r="AA153" s="5"/>
      <c r="AB153" s="5"/>
      <c r="AC153" s="5"/>
      <c r="AD153" s="5"/>
      <c r="AE153" s="5"/>
    </row>
    <row r="154" ht="15.75" customHeight="1">
      <c r="A154" s="5"/>
      <c r="B154" s="5"/>
      <c r="C154" s="5"/>
      <c r="D154" s="5"/>
      <c r="E154" s="5"/>
      <c r="F154" s="5"/>
      <c r="G154" s="112"/>
      <c r="H154" s="112"/>
      <c r="I154" s="112"/>
      <c r="J154" s="112"/>
      <c r="K154" s="112"/>
      <c r="L154" s="112"/>
      <c r="M154" s="112"/>
      <c r="N154" s="112"/>
      <c r="O154" s="112"/>
      <c r="P154" s="112"/>
      <c r="Q154" s="5"/>
      <c r="R154" s="5"/>
      <c r="S154" s="5"/>
      <c r="T154" s="5"/>
      <c r="U154" s="5"/>
      <c r="V154" s="5"/>
      <c r="W154" s="5"/>
      <c r="X154" s="5"/>
      <c r="Y154" s="5"/>
      <c r="Z154" s="5"/>
      <c r="AA154" s="5"/>
      <c r="AB154" s="5"/>
      <c r="AC154" s="5"/>
      <c r="AD154" s="5"/>
      <c r="AE154" s="5"/>
    </row>
    <row r="155" ht="15.75" customHeight="1">
      <c r="A155" s="5"/>
      <c r="B155" s="5"/>
      <c r="C155" s="5"/>
      <c r="D155" s="5"/>
      <c r="E155" s="5"/>
      <c r="F155" s="5"/>
      <c r="G155" s="112"/>
      <c r="H155" s="112"/>
      <c r="I155" s="112"/>
      <c r="J155" s="112"/>
      <c r="K155" s="112"/>
      <c r="L155" s="112"/>
      <c r="M155" s="112"/>
      <c r="N155" s="112"/>
      <c r="O155" s="112"/>
      <c r="P155" s="112"/>
      <c r="Q155" s="5"/>
      <c r="R155" s="5"/>
      <c r="S155" s="5"/>
      <c r="T155" s="5"/>
      <c r="U155" s="5"/>
      <c r="V155" s="5"/>
      <c r="W155" s="5"/>
      <c r="X155" s="5"/>
      <c r="Y155" s="5"/>
      <c r="Z155" s="5"/>
      <c r="AA155" s="5"/>
      <c r="AB155" s="5"/>
      <c r="AC155" s="5"/>
      <c r="AD155" s="5"/>
      <c r="AE155" s="5"/>
    </row>
    <row r="156" ht="15.75" customHeight="1">
      <c r="A156" s="5"/>
      <c r="B156" s="5"/>
      <c r="C156" s="5"/>
      <c r="D156" s="5"/>
      <c r="E156" s="5"/>
      <c r="F156" s="5"/>
      <c r="G156" s="112"/>
      <c r="H156" s="112"/>
      <c r="I156" s="112"/>
      <c r="J156" s="112"/>
      <c r="K156" s="112"/>
      <c r="L156" s="112"/>
      <c r="M156" s="112"/>
      <c r="N156" s="112"/>
      <c r="O156" s="112"/>
      <c r="P156" s="112"/>
      <c r="Q156" s="5"/>
      <c r="R156" s="5"/>
      <c r="S156" s="5"/>
      <c r="T156" s="5"/>
      <c r="U156" s="5"/>
      <c r="V156" s="5"/>
      <c r="W156" s="5"/>
      <c r="X156" s="5"/>
      <c r="Y156" s="5"/>
      <c r="Z156" s="5"/>
      <c r="AA156" s="5"/>
      <c r="AB156" s="5"/>
      <c r="AC156" s="5"/>
      <c r="AD156" s="5"/>
      <c r="AE156" s="5"/>
    </row>
    <row r="157" ht="15.75" customHeight="1">
      <c r="A157" s="5"/>
      <c r="B157" s="5"/>
      <c r="C157" s="5"/>
      <c r="D157" s="5"/>
      <c r="E157" s="5"/>
      <c r="F157" s="5"/>
      <c r="G157" s="112"/>
      <c r="H157" s="112"/>
      <c r="I157" s="112"/>
      <c r="J157" s="112"/>
      <c r="K157" s="112"/>
      <c r="L157" s="112"/>
      <c r="M157" s="112"/>
      <c r="N157" s="112"/>
      <c r="O157" s="112"/>
      <c r="P157" s="112"/>
      <c r="Q157" s="5"/>
      <c r="R157" s="5"/>
      <c r="S157" s="5"/>
      <c r="T157" s="5"/>
      <c r="U157" s="5"/>
      <c r="V157" s="5"/>
      <c r="W157" s="5"/>
      <c r="X157" s="5"/>
      <c r="Y157" s="5"/>
      <c r="Z157" s="5"/>
      <c r="AA157" s="5"/>
      <c r="AB157" s="5"/>
      <c r="AC157" s="5"/>
      <c r="AD157" s="5"/>
      <c r="AE157" s="5"/>
    </row>
    <row r="158" ht="15.75" customHeight="1">
      <c r="A158" s="5"/>
      <c r="B158" s="5"/>
      <c r="C158" s="5"/>
      <c r="D158" s="5"/>
      <c r="E158" s="5"/>
      <c r="F158" s="5"/>
      <c r="G158" s="112"/>
      <c r="H158" s="112"/>
      <c r="I158" s="112"/>
      <c r="J158" s="112"/>
      <c r="K158" s="112"/>
      <c r="L158" s="112"/>
      <c r="M158" s="112"/>
      <c r="N158" s="112"/>
      <c r="O158" s="112"/>
      <c r="P158" s="112"/>
      <c r="Q158" s="5"/>
      <c r="R158" s="5"/>
      <c r="S158" s="5"/>
      <c r="T158" s="5"/>
      <c r="U158" s="5"/>
      <c r="V158" s="5"/>
      <c r="W158" s="5"/>
      <c r="X158" s="5"/>
      <c r="Y158" s="5"/>
      <c r="Z158" s="5"/>
      <c r="AA158" s="5"/>
      <c r="AB158" s="5"/>
      <c r="AC158" s="5"/>
      <c r="AD158" s="5"/>
      <c r="AE158" s="5"/>
    </row>
    <row r="159" ht="15.75" customHeight="1">
      <c r="A159" s="5"/>
      <c r="B159" s="5"/>
      <c r="C159" s="5"/>
      <c r="D159" s="5"/>
      <c r="E159" s="5"/>
      <c r="F159" s="5"/>
      <c r="G159" s="112"/>
      <c r="H159" s="112"/>
      <c r="I159" s="112"/>
      <c r="J159" s="112"/>
      <c r="K159" s="112"/>
      <c r="L159" s="112"/>
      <c r="M159" s="112"/>
      <c r="N159" s="112"/>
      <c r="O159" s="112"/>
      <c r="P159" s="112"/>
      <c r="Q159" s="5"/>
      <c r="R159" s="5"/>
      <c r="S159" s="5"/>
      <c r="T159" s="5"/>
      <c r="U159" s="5"/>
      <c r="V159" s="5"/>
      <c r="W159" s="5"/>
      <c r="X159" s="5"/>
      <c r="Y159" s="5"/>
      <c r="Z159" s="5"/>
      <c r="AA159" s="5"/>
      <c r="AB159" s="5"/>
      <c r="AC159" s="5"/>
      <c r="AD159" s="5"/>
      <c r="AE159" s="5"/>
    </row>
    <row r="160" ht="15.75" customHeight="1">
      <c r="A160" s="5"/>
      <c r="B160" s="5"/>
      <c r="C160" s="5"/>
      <c r="D160" s="5"/>
      <c r="E160" s="5"/>
      <c r="F160" s="5"/>
      <c r="G160" s="112"/>
      <c r="H160" s="112"/>
      <c r="I160" s="112"/>
      <c r="J160" s="112"/>
      <c r="K160" s="112"/>
      <c r="L160" s="112"/>
      <c r="M160" s="112"/>
      <c r="N160" s="112"/>
      <c r="O160" s="112"/>
      <c r="P160" s="112"/>
      <c r="Q160" s="5"/>
      <c r="R160" s="5"/>
      <c r="S160" s="5"/>
      <c r="T160" s="5"/>
      <c r="U160" s="5"/>
      <c r="V160" s="5"/>
      <c r="W160" s="5"/>
      <c r="X160" s="5"/>
      <c r="Y160" s="5"/>
      <c r="Z160" s="5"/>
      <c r="AA160" s="5"/>
      <c r="AB160" s="5"/>
      <c r="AC160" s="5"/>
      <c r="AD160" s="5"/>
      <c r="AE160" s="5"/>
    </row>
    <row r="161" ht="15.75" customHeight="1">
      <c r="A161" s="5"/>
      <c r="B161" s="5"/>
      <c r="C161" s="5"/>
      <c r="D161" s="5"/>
      <c r="E161" s="5"/>
      <c r="F161" s="5"/>
      <c r="G161" s="112"/>
      <c r="H161" s="112"/>
      <c r="I161" s="112"/>
      <c r="J161" s="112"/>
      <c r="K161" s="112"/>
      <c r="L161" s="112"/>
      <c r="M161" s="112"/>
      <c r="N161" s="112"/>
      <c r="O161" s="112"/>
      <c r="P161" s="112"/>
      <c r="Q161" s="5"/>
      <c r="R161" s="5"/>
      <c r="S161" s="5"/>
      <c r="T161" s="5"/>
      <c r="U161" s="5"/>
      <c r="V161" s="5"/>
      <c r="W161" s="5"/>
      <c r="X161" s="5"/>
      <c r="Y161" s="5"/>
      <c r="Z161" s="5"/>
      <c r="AA161" s="5"/>
      <c r="AB161" s="5"/>
      <c r="AC161" s="5"/>
      <c r="AD161" s="5"/>
      <c r="AE161" s="5"/>
    </row>
    <row r="162" ht="15.75" customHeight="1">
      <c r="A162" s="5"/>
      <c r="B162" s="5"/>
      <c r="C162" s="5"/>
      <c r="D162" s="5"/>
      <c r="E162" s="5"/>
      <c r="F162" s="5"/>
      <c r="G162" s="112"/>
      <c r="H162" s="112"/>
      <c r="I162" s="112"/>
      <c r="J162" s="112"/>
      <c r="K162" s="112"/>
      <c r="L162" s="112"/>
      <c r="M162" s="112"/>
      <c r="N162" s="112"/>
      <c r="O162" s="112"/>
      <c r="P162" s="112"/>
      <c r="Q162" s="5"/>
      <c r="R162" s="5"/>
      <c r="S162" s="5"/>
      <c r="T162" s="5"/>
      <c r="U162" s="5"/>
      <c r="V162" s="5"/>
      <c r="W162" s="5"/>
      <c r="X162" s="5"/>
      <c r="Y162" s="5"/>
      <c r="Z162" s="5"/>
      <c r="AA162" s="5"/>
      <c r="AB162" s="5"/>
      <c r="AC162" s="5"/>
      <c r="AD162" s="5"/>
      <c r="AE162" s="5"/>
    </row>
    <row r="163" ht="15.75" customHeight="1">
      <c r="A163" s="5"/>
      <c r="B163" s="5"/>
      <c r="C163" s="5"/>
      <c r="D163" s="5"/>
      <c r="E163" s="5"/>
      <c r="F163" s="5"/>
      <c r="G163" s="112"/>
      <c r="H163" s="112"/>
      <c r="I163" s="112"/>
      <c r="J163" s="112"/>
      <c r="K163" s="112"/>
      <c r="L163" s="112"/>
      <c r="M163" s="112"/>
      <c r="N163" s="112"/>
      <c r="O163" s="112"/>
      <c r="P163" s="112"/>
      <c r="Q163" s="5"/>
      <c r="R163" s="5"/>
      <c r="S163" s="5"/>
      <c r="T163" s="5"/>
      <c r="U163" s="5"/>
      <c r="V163" s="5"/>
      <c r="W163" s="5"/>
      <c r="X163" s="5"/>
      <c r="Y163" s="5"/>
      <c r="Z163" s="5"/>
      <c r="AA163" s="5"/>
      <c r="AB163" s="5"/>
      <c r="AC163" s="5"/>
      <c r="AD163" s="5"/>
      <c r="AE163" s="5"/>
    </row>
    <row r="164" ht="15.75" customHeight="1">
      <c r="A164" s="5"/>
      <c r="B164" s="5"/>
      <c r="C164" s="5"/>
      <c r="D164" s="5"/>
      <c r="E164" s="5"/>
      <c r="F164" s="5"/>
      <c r="G164" s="112"/>
      <c r="H164" s="112"/>
      <c r="I164" s="112"/>
      <c r="J164" s="112"/>
      <c r="K164" s="112"/>
      <c r="L164" s="112"/>
      <c r="M164" s="112"/>
      <c r="N164" s="112"/>
      <c r="O164" s="112"/>
      <c r="P164" s="112"/>
      <c r="Q164" s="5"/>
      <c r="R164" s="5"/>
      <c r="S164" s="5"/>
      <c r="T164" s="5"/>
      <c r="U164" s="5"/>
      <c r="V164" s="5"/>
      <c r="W164" s="5"/>
      <c r="X164" s="5"/>
      <c r="Y164" s="5"/>
      <c r="Z164" s="5"/>
      <c r="AA164" s="5"/>
      <c r="AB164" s="5"/>
      <c r="AC164" s="5"/>
      <c r="AD164" s="5"/>
      <c r="AE164" s="5"/>
    </row>
    <row r="165" ht="15.75" customHeight="1">
      <c r="A165" s="5"/>
      <c r="B165" s="5"/>
      <c r="C165" s="5"/>
      <c r="D165" s="5"/>
      <c r="E165" s="5"/>
      <c r="F165" s="5"/>
      <c r="G165" s="112"/>
      <c r="H165" s="112"/>
      <c r="I165" s="112"/>
      <c r="J165" s="112"/>
      <c r="K165" s="112"/>
      <c r="L165" s="112"/>
      <c r="M165" s="112"/>
      <c r="N165" s="112"/>
      <c r="O165" s="112"/>
      <c r="P165" s="112"/>
      <c r="Q165" s="5"/>
      <c r="R165" s="5"/>
      <c r="S165" s="5"/>
      <c r="T165" s="5"/>
      <c r="U165" s="5"/>
      <c r="V165" s="5"/>
      <c r="W165" s="5"/>
      <c r="X165" s="5"/>
      <c r="Y165" s="5"/>
      <c r="Z165" s="5"/>
      <c r="AA165" s="5"/>
      <c r="AB165" s="5"/>
      <c r="AC165" s="5"/>
      <c r="AD165" s="5"/>
      <c r="AE165" s="5"/>
    </row>
    <row r="166" ht="15.75" customHeight="1">
      <c r="A166" s="5"/>
      <c r="B166" s="5"/>
      <c r="C166" s="5"/>
      <c r="D166" s="5"/>
      <c r="E166" s="5"/>
      <c r="F166" s="5"/>
      <c r="G166" s="112"/>
      <c r="H166" s="112"/>
      <c r="I166" s="112"/>
      <c r="J166" s="112"/>
      <c r="K166" s="112"/>
      <c r="L166" s="112"/>
      <c r="M166" s="112"/>
      <c r="N166" s="112"/>
      <c r="O166" s="112"/>
      <c r="P166" s="112"/>
      <c r="Q166" s="5"/>
      <c r="R166" s="5"/>
      <c r="S166" s="5"/>
      <c r="T166" s="5"/>
      <c r="U166" s="5"/>
      <c r="V166" s="5"/>
      <c r="W166" s="5"/>
      <c r="X166" s="5"/>
      <c r="Y166" s="5"/>
      <c r="Z166" s="5"/>
      <c r="AA166" s="5"/>
      <c r="AB166" s="5"/>
      <c r="AC166" s="5"/>
      <c r="AD166" s="5"/>
      <c r="AE166" s="5"/>
    </row>
    <row r="167" ht="15.75" customHeight="1">
      <c r="A167" s="5"/>
      <c r="B167" s="5"/>
      <c r="C167" s="5"/>
      <c r="D167" s="5"/>
      <c r="E167" s="5"/>
      <c r="F167" s="5"/>
      <c r="G167" s="112"/>
      <c r="H167" s="112"/>
      <c r="I167" s="112"/>
      <c r="J167" s="112"/>
      <c r="K167" s="112"/>
      <c r="L167" s="112"/>
      <c r="M167" s="112"/>
      <c r="N167" s="112"/>
      <c r="O167" s="112"/>
      <c r="P167" s="112"/>
      <c r="Q167" s="5"/>
      <c r="R167" s="5"/>
      <c r="S167" s="5"/>
      <c r="T167" s="5"/>
      <c r="U167" s="5"/>
      <c r="V167" s="5"/>
      <c r="W167" s="5"/>
      <c r="X167" s="5"/>
      <c r="Y167" s="5"/>
      <c r="Z167" s="5"/>
      <c r="AA167" s="5"/>
      <c r="AB167" s="5"/>
      <c r="AC167" s="5"/>
      <c r="AD167" s="5"/>
      <c r="AE167" s="5"/>
    </row>
    <row r="168" ht="15.75" customHeight="1">
      <c r="A168" s="5"/>
      <c r="B168" s="5"/>
      <c r="C168" s="5"/>
      <c r="D168" s="5"/>
      <c r="E168" s="5"/>
      <c r="F168" s="5"/>
      <c r="G168" s="112"/>
      <c r="H168" s="112"/>
      <c r="I168" s="112"/>
      <c r="J168" s="112"/>
      <c r="K168" s="112"/>
      <c r="L168" s="112"/>
      <c r="M168" s="112"/>
      <c r="N168" s="112"/>
      <c r="O168" s="112"/>
      <c r="P168" s="112"/>
      <c r="Q168" s="5"/>
      <c r="R168" s="5"/>
      <c r="S168" s="5"/>
      <c r="T168" s="5"/>
      <c r="U168" s="5"/>
      <c r="V168" s="5"/>
      <c r="W168" s="5"/>
      <c r="X168" s="5"/>
      <c r="Y168" s="5"/>
      <c r="Z168" s="5"/>
      <c r="AA168" s="5"/>
      <c r="AB168" s="5"/>
      <c r="AC168" s="5"/>
      <c r="AD168" s="5"/>
      <c r="AE168" s="5"/>
    </row>
    <row r="169" ht="15.75" customHeight="1">
      <c r="A169" s="5"/>
      <c r="B169" s="5"/>
      <c r="C169" s="5"/>
      <c r="D169" s="5"/>
      <c r="E169" s="5"/>
      <c r="F169" s="5"/>
      <c r="G169" s="112"/>
      <c r="H169" s="112"/>
      <c r="I169" s="112"/>
      <c r="J169" s="112"/>
      <c r="K169" s="112"/>
      <c r="L169" s="112"/>
      <c r="M169" s="112"/>
      <c r="N169" s="112"/>
      <c r="O169" s="112"/>
      <c r="P169" s="112"/>
      <c r="Q169" s="5"/>
      <c r="R169" s="5"/>
      <c r="S169" s="5"/>
      <c r="T169" s="5"/>
      <c r="U169" s="5"/>
      <c r="V169" s="5"/>
      <c r="W169" s="5"/>
      <c r="X169" s="5"/>
      <c r="Y169" s="5"/>
      <c r="Z169" s="5"/>
      <c r="AA169" s="5"/>
      <c r="AB169" s="5"/>
      <c r="AC169" s="5"/>
      <c r="AD169" s="5"/>
      <c r="AE169" s="5"/>
    </row>
    <row r="170" ht="15.75" customHeight="1">
      <c r="A170" s="5"/>
      <c r="B170" s="5"/>
      <c r="C170" s="5"/>
      <c r="D170" s="5"/>
      <c r="E170" s="5"/>
      <c r="F170" s="5"/>
      <c r="G170" s="112"/>
      <c r="H170" s="112"/>
      <c r="I170" s="112"/>
      <c r="J170" s="112"/>
      <c r="K170" s="112"/>
      <c r="L170" s="112"/>
      <c r="M170" s="112"/>
      <c r="N170" s="112"/>
      <c r="O170" s="112"/>
      <c r="P170" s="112"/>
      <c r="Q170" s="5"/>
      <c r="R170" s="5"/>
      <c r="S170" s="5"/>
      <c r="T170" s="5"/>
      <c r="U170" s="5"/>
      <c r="V170" s="5"/>
      <c r="W170" s="5"/>
      <c r="X170" s="5"/>
      <c r="Y170" s="5"/>
      <c r="Z170" s="5"/>
      <c r="AA170" s="5"/>
      <c r="AB170" s="5"/>
      <c r="AC170" s="5"/>
      <c r="AD170" s="5"/>
      <c r="AE170" s="5"/>
    </row>
    <row r="171" ht="15.75" customHeight="1">
      <c r="A171" s="5"/>
      <c r="B171" s="5"/>
      <c r="C171" s="5"/>
      <c r="D171" s="5"/>
      <c r="E171" s="5"/>
      <c r="F171" s="5"/>
      <c r="G171" s="112"/>
      <c r="H171" s="112"/>
      <c r="I171" s="112"/>
      <c r="J171" s="112"/>
      <c r="K171" s="112"/>
      <c r="L171" s="112"/>
      <c r="M171" s="112"/>
      <c r="N171" s="112"/>
      <c r="O171" s="112"/>
      <c r="P171" s="112"/>
      <c r="Q171" s="5"/>
      <c r="R171" s="5"/>
      <c r="S171" s="5"/>
      <c r="T171" s="5"/>
      <c r="U171" s="5"/>
      <c r="V171" s="5"/>
      <c r="W171" s="5"/>
      <c r="X171" s="5"/>
      <c r="Y171" s="5"/>
      <c r="Z171" s="5"/>
      <c r="AA171" s="5"/>
      <c r="AB171" s="5"/>
      <c r="AC171" s="5"/>
      <c r="AD171" s="5"/>
      <c r="AE171" s="5"/>
    </row>
    <row r="172" ht="15.75" customHeight="1">
      <c r="A172" s="5"/>
      <c r="B172" s="5"/>
      <c r="C172" s="5"/>
      <c r="D172" s="5"/>
      <c r="E172" s="5"/>
      <c r="F172" s="5"/>
      <c r="G172" s="112"/>
      <c r="H172" s="112"/>
      <c r="I172" s="112"/>
      <c r="J172" s="112"/>
      <c r="K172" s="112"/>
      <c r="L172" s="112"/>
      <c r="M172" s="112"/>
      <c r="N172" s="112"/>
      <c r="O172" s="112"/>
      <c r="P172" s="112"/>
      <c r="Q172" s="5"/>
      <c r="R172" s="5"/>
      <c r="S172" s="5"/>
      <c r="T172" s="5"/>
      <c r="U172" s="5"/>
      <c r="V172" s="5"/>
      <c r="W172" s="5"/>
      <c r="X172" s="5"/>
      <c r="Y172" s="5"/>
      <c r="Z172" s="5"/>
      <c r="AA172" s="5"/>
      <c r="AB172" s="5"/>
      <c r="AC172" s="5"/>
      <c r="AD172" s="5"/>
      <c r="AE172" s="5"/>
    </row>
    <row r="173" ht="15.75" customHeight="1">
      <c r="A173" s="5"/>
      <c r="B173" s="5"/>
      <c r="C173" s="5"/>
      <c r="D173" s="5"/>
      <c r="E173" s="5"/>
      <c r="F173" s="5"/>
      <c r="G173" s="112"/>
      <c r="H173" s="112"/>
      <c r="I173" s="112"/>
      <c r="J173" s="112"/>
      <c r="K173" s="112"/>
      <c r="L173" s="112"/>
      <c r="M173" s="112"/>
      <c r="N173" s="112"/>
      <c r="O173" s="112"/>
      <c r="P173" s="112"/>
      <c r="Q173" s="5"/>
      <c r="R173" s="5"/>
      <c r="S173" s="5"/>
      <c r="T173" s="5"/>
      <c r="U173" s="5"/>
      <c r="V173" s="5"/>
      <c r="W173" s="5"/>
      <c r="X173" s="5"/>
      <c r="Y173" s="5"/>
      <c r="Z173" s="5"/>
      <c r="AA173" s="5"/>
      <c r="AB173" s="5"/>
      <c r="AC173" s="5"/>
      <c r="AD173" s="5"/>
      <c r="AE173" s="5"/>
    </row>
    <row r="174" ht="15.75" customHeight="1">
      <c r="A174" s="5"/>
      <c r="B174" s="5"/>
      <c r="C174" s="5"/>
      <c r="D174" s="5"/>
      <c r="E174" s="5"/>
      <c r="F174" s="5"/>
      <c r="G174" s="112"/>
      <c r="H174" s="112"/>
      <c r="I174" s="112"/>
      <c r="J174" s="112"/>
      <c r="K174" s="112"/>
      <c r="L174" s="112"/>
      <c r="M174" s="112"/>
      <c r="N174" s="112"/>
      <c r="O174" s="112"/>
      <c r="P174" s="112"/>
      <c r="Q174" s="5"/>
      <c r="R174" s="5"/>
      <c r="S174" s="5"/>
      <c r="T174" s="5"/>
      <c r="U174" s="5"/>
      <c r="V174" s="5"/>
      <c r="W174" s="5"/>
      <c r="X174" s="5"/>
      <c r="Y174" s="5"/>
      <c r="Z174" s="5"/>
      <c r="AA174" s="5"/>
      <c r="AB174" s="5"/>
      <c r="AC174" s="5"/>
      <c r="AD174" s="5"/>
      <c r="AE174" s="5"/>
    </row>
    <row r="175" ht="15.75" customHeight="1">
      <c r="A175" s="5"/>
      <c r="B175" s="5"/>
      <c r="C175" s="5"/>
      <c r="D175" s="5"/>
      <c r="E175" s="5"/>
      <c r="F175" s="5"/>
      <c r="G175" s="112"/>
      <c r="H175" s="112"/>
      <c r="I175" s="112"/>
      <c r="J175" s="112"/>
      <c r="K175" s="112"/>
      <c r="L175" s="112"/>
      <c r="M175" s="112"/>
      <c r="N175" s="112"/>
      <c r="O175" s="112"/>
      <c r="P175" s="112"/>
      <c r="Q175" s="5"/>
      <c r="R175" s="5"/>
      <c r="S175" s="5"/>
      <c r="T175" s="5"/>
      <c r="U175" s="5"/>
      <c r="V175" s="5"/>
      <c r="W175" s="5"/>
      <c r="X175" s="5"/>
      <c r="Y175" s="5"/>
      <c r="Z175" s="5"/>
      <c r="AA175" s="5"/>
      <c r="AB175" s="5"/>
      <c r="AC175" s="5"/>
      <c r="AD175" s="5"/>
      <c r="AE175" s="5"/>
    </row>
    <row r="176" ht="15.75" customHeight="1">
      <c r="A176" s="5"/>
      <c r="B176" s="5"/>
      <c r="C176" s="5"/>
      <c r="D176" s="5"/>
      <c r="E176" s="5"/>
      <c r="F176" s="5"/>
      <c r="G176" s="112"/>
      <c r="H176" s="112"/>
      <c r="I176" s="112"/>
      <c r="J176" s="112"/>
      <c r="K176" s="112"/>
      <c r="L176" s="112"/>
      <c r="M176" s="112"/>
      <c r="N176" s="112"/>
      <c r="O176" s="112"/>
      <c r="P176" s="112"/>
      <c r="Q176" s="5"/>
      <c r="R176" s="5"/>
      <c r="S176" s="5"/>
      <c r="T176" s="5"/>
      <c r="U176" s="5"/>
      <c r="V176" s="5"/>
      <c r="W176" s="5"/>
      <c r="X176" s="5"/>
      <c r="Y176" s="5"/>
      <c r="Z176" s="5"/>
      <c r="AA176" s="5"/>
      <c r="AB176" s="5"/>
      <c r="AC176" s="5"/>
      <c r="AD176" s="5"/>
      <c r="AE176" s="5"/>
    </row>
    <row r="177" ht="15.75" customHeight="1">
      <c r="A177" s="5"/>
      <c r="B177" s="5"/>
      <c r="C177" s="5"/>
      <c r="D177" s="5"/>
      <c r="E177" s="5"/>
      <c r="F177" s="5"/>
      <c r="G177" s="112"/>
      <c r="H177" s="112"/>
      <c r="I177" s="112"/>
      <c r="J177" s="112"/>
      <c r="K177" s="112"/>
      <c r="L177" s="112"/>
      <c r="M177" s="112"/>
      <c r="N177" s="112"/>
      <c r="O177" s="112"/>
      <c r="P177" s="112"/>
      <c r="Q177" s="5"/>
      <c r="R177" s="5"/>
      <c r="S177" s="5"/>
      <c r="T177" s="5"/>
      <c r="U177" s="5"/>
      <c r="V177" s="5"/>
      <c r="W177" s="5"/>
      <c r="X177" s="5"/>
      <c r="Y177" s="5"/>
      <c r="Z177" s="5"/>
      <c r="AA177" s="5"/>
      <c r="AB177" s="5"/>
      <c r="AC177" s="5"/>
      <c r="AD177" s="5"/>
      <c r="AE177" s="5"/>
    </row>
    <row r="178" ht="15.75" customHeight="1">
      <c r="A178" s="5"/>
      <c r="B178" s="5"/>
      <c r="C178" s="5"/>
      <c r="D178" s="5"/>
      <c r="E178" s="5"/>
      <c r="F178" s="5"/>
      <c r="G178" s="112"/>
      <c r="H178" s="112"/>
      <c r="I178" s="112"/>
      <c r="J178" s="112"/>
      <c r="K178" s="112"/>
      <c r="L178" s="112"/>
      <c r="M178" s="112"/>
      <c r="N178" s="112"/>
      <c r="O178" s="112"/>
      <c r="P178" s="112"/>
      <c r="Q178" s="5"/>
      <c r="R178" s="5"/>
      <c r="S178" s="5"/>
      <c r="T178" s="5"/>
      <c r="U178" s="5"/>
      <c r="V178" s="5"/>
      <c r="W178" s="5"/>
      <c r="X178" s="5"/>
      <c r="Y178" s="5"/>
      <c r="Z178" s="5"/>
      <c r="AA178" s="5"/>
      <c r="AB178" s="5"/>
      <c r="AC178" s="5"/>
      <c r="AD178" s="5"/>
      <c r="AE178" s="5"/>
    </row>
    <row r="179" ht="15.75" customHeight="1">
      <c r="A179" s="5"/>
      <c r="B179" s="5"/>
      <c r="C179" s="5"/>
      <c r="D179" s="5"/>
      <c r="E179" s="5"/>
      <c r="F179" s="5"/>
      <c r="G179" s="112"/>
      <c r="H179" s="112"/>
      <c r="I179" s="112"/>
      <c r="J179" s="112"/>
      <c r="K179" s="112"/>
      <c r="L179" s="112"/>
      <c r="M179" s="112"/>
      <c r="N179" s="112"/>
      <c r="O179" s="112"/>
      <c r="P179" s="112"/>
      <c r="Q179" s="5"/>
      <c r="R179" s="5"/>
      <c r="S179" s="5"/>
      <c r="T179" s="5"/>
      <c r="U179" s="5"/>
      <c r="V179" s="5"/>
      <c r="W179" s="5"/>
      <c r="X179" s="5"/>
      <c r="Y179" s="5"/>
      <c r="Z179" s="5"/>
      <c r="AA179" s="5"/>
      <c r="AB179" s="5"/>
      <c r="AC179" s="5"/>
      <c r="AD179" s="5"/>
      <c r="AE179" s="5"/>
    </row>
    <row r="180" ht="15.75" customHeight="1">
      <c r="A180" s="5"/>
      <c r="B180" s="5"/>
      <c r="C180" s="5"/>
      <c r="D180" s="5"/>
      <c r="E180" s="5"/>
      <c r="F180" s="5"/>
      <c r="G180" s="112"/>
      <c r="H180" s="112"/>
      <c r="I180" s="112"/>
      <c r="J180" s="112"/>
      <c r="K180" s="112"/>
      <c r="L180" s="112"/>
      <c r="M180" s="112"/>
      <c r="N180" s="112"/>
      <c r="O180" s="112"/>
      <c r="P180" s="112"/>
      <c r="Q180" s="5"/>
      <c r="R180" s="5"/>
      <c r="S180" s="5"/>
      <c r="T180" s="5"/>
      <c r="U180" s="5"/>
      <c r="V180" s="5"/>
      <c r="W180" s="5"/>
      <c r="X180" s="5"/>
      <c r="Y180" s="5"/>
      <c r="Z180" s="5"/>
      <c r="AA180" s="5"/>
      <c r="AB180" s="5"/>
      <c r="AC180" s="5"/>
      <c r="AD180" s="5"/>
      <c r="AE180" s="5"/>
    </row>
    <row r="181" ht="15.75" customHeight="1">
      <c r="A181" s="5"/>
      <c r="B181" s="5"/>
      <c r="C181" s="5"/>
      <c r="D181" s="5"/>
      <c r="E181" s="5"/>
      <c r="F181" s="5"/>
      <c r="G181" s="112"/>
      <c r="H181" s="112"/>
      <c r="I181" s="112"/>
      <c r="J181" s="112"/>
      <c r="K181" s="112"/>
      <c r="L181" s="112"/>
      <c r="M181" s="112"/>
      <c r="N181" s="112"/>
      <c r="O181" s="112"/>
      <c r="P181" s="112"/>
      <c r="Q181" s="5"/>
      <c r="R181" s="5"/>
      <c r="S181" s="5"/>
      <c r="T181" s="5"/>
      <c r="U181" s="5"/>
      <c r="V181" s="5"/>
      <c r="W181" s="5"/>
      <c r="X181" s="5"/>
      <c r="Y181" s="5"/>
      <c r="Z181" s="5"/>
      <c r="AA181" s="5"/>
      <c r="AB181" s="5"/>
      <c r="AC181" s="5"/>
      <c r="AD181" s="5"/>
      <c r="AE181" s="5"/>
    </row>
    <row r="182" ht="15.75" customHeight="1">
      <c r="A182" s="5"/>
      <c r="B182" s="5"/>
      <c r="C182" s="5"/>
      <c r="D182" s="5"/>
      <c r="E182" s="5"/>
      <c r="F182" s="5"/>
      <c r="G182" s="112"/>
      <c r="H182" s="112"/>
      <c r="I182" s="112"/>
      <c r="J182" s="112"/>
      <c r="K182" s="112"/>
      <c r="L182" s="112"/>
      <c r="M182" s="112"/>
      <c r="N182" s="112"/>
      <c r="O182" s="112"/>
      <c r="P182" s="112"/>
      <c r="Q182" s="5"/>
      <c r="R182" s="5"/>
      <c r="S182" s="5"/>
      <c r="T182" s="5"/>
      <c r="U182" s="5"/>
      <c r="V182" s="5"/>
      <c r="W182" s="5"/>
      <c r="X182" s="5"/>
      <c r="Y182" s="5"/>
      <c r="Z182" s="5"/>
      <c r="AA182" s="5"/>
      <c r="AB182" s="5"/>
      <c r="AC182" s="5"/>
      <c r="AD182" s="5"/>
      <c r="AE182" s="5"/>
    </row>
    <row r="183" ht="15.75" customHeight="1">
      <c r="A183" s="5"/>
      <c r="B183" s="5"/>
      <c r="C183" s="5"/>
      <c r="D183" s="5"/>
      <c r="E183" s="5"/>
      <c r="F183" s="5"/>
      <c r="G183" s="112"/>
      <c r="H183" s="112"/>
      <c r="I183" s="112"/>
      <c r="J183" s="112"/>
      <c r="K183" s="112"/>
      <c r="L183" s="112"/>
      <c r="M183" s="112"/>
      <c r="N183" s="112"/>
      <c r="O183" s="112"/>
      <c r="P183" s="112"/>
      <c r="Q183" s="5"/>
      <c r="R183" s="5"/>
      <c r="S183" s="5"/>
      <c r="T183" s="5"/>
      <c r="U183" s="5"/>
      <c r="V183" s="5"/>
      <c r="W183" s="5"/>
      <c r="X183" s="5"/>
      <c r="Y183" s="5"/>
      <c r="Z183" s="5"/>
      <c r="AA183" s="5"/>
      <c r="AB183" s="5"/>
      <c r="AC183" s="5"/>
      <c r="AD183" s="5"/>
      <c r="AE183" s="5"/>
    </row>
    <row r="184" ht="15.75" customHeight="1">
      <c r="A184" s="5"/>
      <c r="B184" s="5"/>
      <c r="C184" s="5"/>
      <c r="D184" s="5"/>
      <c r="E184" s="5"/>
      <c r="F184" s="5"/>
      <c r="G184" s="112"/>
      <c r="H184" s="112"/>
      <c r="I184" s="112"/>
      <c r="J184" s="112"/>
      <c r="K184" s="112"/>
      <c r="L184" s="112"/>
      <c r="M184" s="112"/>
      <c r="N184" s="112"/>
      <c r="O184" s="112"/>
      <c r="P184" s="112"/>
      <c r="Q184" s="5"/>
      <c r="R184" s="5"/>
      <c r="S184" s="5"/>
      <c r="T184" s="5"/>
      <c r="U184" s="5"/>
      <c r="V184" s="5"/>
      <c r="W184" s="5"/>
      <c r="X184" s="5"/>
      <c r="Y184" s="5"/>
      <c r="Z184" s="5"/>
      <c r="AA184" s="5"/>
      <c r="AB184" s="5"/>
      <c r="AC184" s="5"/>
      <c r="AD184" s="5"/>
      <c r="AE184" s="5"/>
    </row>
    <row r="185" ht="15.75" customHeight="1">
      <c r="A185" s="5"/>
      <c r="B185" s="5"/>
      <c r="C185" s="5"/>
      <c r="D185" s="5"/>
      <c r="E185" s="5"/>
      <c r="F185" s="5"/>
      <c r="G185" s="112"/>
      <c r="H185" s="112"/>
      <c r="I185" s="112"/>
      <c r="J185" s="112"/>
      <c r="K185" s="112"/>
      <c r="L185" s="112"/>
      <c r="M185" s="112"/>
      <c r="N185" s="112"/>
      <c r="O185" s="112"/>
      <c r="P185" s="112"/>
      <c r="Q185" s="5"/>
      <c r="R185" s="5"/>
      <c r="S185" s="5"/>
      <c r="T185" s="5"/>
      <c r="U185" s="5"/>
      <c r="V185" s="5"/>
      <c r="W185" s="5"/>
      <c r="X185" s="5"/>
      <c r="Y185" s="5"/>
      <c r="Z185" s="5"/>
      <c r="AA185" s="5"/>
      <c r="AB185" s="5"/>
      <c r="AC185" s="5"/>
      <c r="AD185" s="5"/>
      <c r="AE185" s="5"/>
    </row>
    <row r="186" ht="15.75" customHeight="1">
      <c r="A186" s="5"/>
      <c r="B186" s="5"/>
      <c r="C186" s="5"/>
      <c r="D186" s="5"/>
      <c r="E186" s="5"/>
      <c r="F186" s="5"/>
      <c r="G186" s="112"/>
      <c r="H186" s="112"/>
      <c r="I186" s="112"/>
      <c r="J186" s="112"/>
      <c r="K186" s="112"/>
      <c r="L186" s="112"/>
      <c r="M186" s="112"/>
      <c r="N186" s="112"/>
      <c r="O186" s="112"/>
      <c r="P186" s="112"/>
      <c r="Q186" s="5"/>
      <c r="R186" s="5"/>
      <c r="S186" s="5"/>
      <c r="T186" s="5"/>
      <c r="U186" s="5"/>
      <c r="V186" s="5"/>
      <c r="W186" s="5"/>
      <c r="X186" s="5"/>
      <c r="Y186" s="5"/>
      <c r="Z186" s="5"/>
      <c r="AA186" s="5"/>
      <c r="AB186" s="5"/>
      <c r="AC186" s="5"/>
      <c r="AD186" s="5"/>
      <c r="AE186" s="5"/>
    </row>
    <row r="187" ht="15.75" customHeight="1">
      <c r="A187" s="5"/>
      <c r="B187" s="5"/>
      <c r="C187" s="5"/>
      <c r="D187" s="5"/>
      <c r="E187" s="5"/>
      <c r="F187" s="5"/>
      <c r="G187" s="112"/>
      <c r="H187" s="112"/>
      <c r="I187" s="112"/>
      <c r="J187" s="112"/>
      <c r="K187" s="112"/>
      <c r="L187" s="112"/>
      <c r="M187" s="112"/>
      <c r="N187" s="112"/>
      <c r="O187" s="112"/>
      <c r="P187" s="112"/>
      <c r="Q187" s="5"/>
      <c r="R187" s="5"/>
      <c r="S187" s="5"/>
      <c r="T187" s="5"/>
      <c r="U187" s="5"/>
      <c r="V187" s="5"/>
      <c r="W187" s="5"/>
      <c r="X187" s="5"/>
      <c r="Y187" s="5"/>
      <c r="Z187" s="5"/>
      <c r="AA187" s="5"/>
      <c r="AB187" s="5"/>
      <c r="AC187" s="5"/>
      <c r="AD187" s="5"/>
      <c r="AE187" s="5"/>
    </row>
    <row r="188" ht="15.75" customHeight="1">
      <c r="A188" s="5"/>
      <c r="B188" s="5"/>
      <c r="C188" s="5"/>
      <c r="D188" s="5"/>
      <c r="E188" s="5"/>
      <c r="F188" s="5"/>
      <c r="G188" s="112"/>
      <c r="H188" s="112"/>
      <c r="I188" s="112"/>
      <c r="J188" s="112"/>
      <c r="K188" s="112"/>
      <c r="L188" s="112"/>
      <c r="M188" s="112"/>
      <c r="N188" s="112"/>
      <c r="O188" s="112"/>
      <c r="P188" s="112"/>
      <c r="Q188" s="5"/>
      <c r="R188" s="5"/>
      <c r="S188" s="5"/>
      <c r="T188" s="5"/>
      <c r="U188" s="5"/>
      <c r="V188" s="5"/>
      <c r="W188" s="5"/>
      <c r="X188" s="5"/>
      <c r="Y188" s="5"/>
      <c r="Z188" s="5"/>
      <c r="AA188" s="5"/>
      <c r="AB188" s="5"/>
      <c r="AC188" s="5"/>
      <c r="AD188" s="5"/>
      <c r="AE188" s="5"/>
    </row>
    <row r="189" ht="15.75" customHeight="1">
      <c r="A189" s="5"/>
      <c r="B189" s="5"/>
      <c r="C189" s="5"/>
      <c r="D189" s="5"/>
      <c r="E189" s="5"/>
      <c r="F189" s="5"/>
      <c r="G189" s="112"/>
      <c r="H189" s="112"/>
      <c r="I189" s="112"/>
      <c r="J189" s="112"/>
      <c r="K189" s="112"/>
      <c r="L189" s="112"/>
      <c r="M189" s="112"/>
      <c r="N189" s="112"/>
      <c r="O189" s="112"/>
      <c r="P189" s="112"/>
      <c r="Q189" s="5"/>
      <c r="R189" s="5"/>
      <c r="S189" s="5"/>
      <c r="T189" s="5"/>
      <c r="U189" s="5"/>
      <c r="V189" s="5"/>
      <c r="W189" s="5"/>
      <c r="X189" s="5"/>
      <c r="Y189" s="5"/>
      <c r="Z189" s="5"/>
      <c r="AA189" s="5"/>
      <c r="AB189" s="5"/>
      <c r="AC189" s="5"/>
      <c r="AD189" s="5"/>
      <c r="AE189" s="5"/>
    </row>
    <row r="190" ht="15.75" customHeight="1">
      <c r="A190" s="5"/>
      <c r="B190" s="5"/>
      <c r="C190" s="5"/>
      <c r="D190" s="5"/>
      <c r="E190" s="5"/>
      <c r="F190" s="5"/>
      <c r="G190" s="112"/>
      <c r="H190" s="112"/>
      <c r="I190" s="112"/>
      <c r="J190" s="112"/>
      <c r="K190" s="112"/>
      <c r="L190" s="112"/>
      <c r="M190" s="112"/>
      <c r="N190" s="112"/>
      <c r="O190" s="112"/>
      <c r="P190" s="112"/>
      <c r="Q190" s="5"/>
      <c r="R190" s="5"/>
      <c r="S190" s="5"/>
      <c r="T190" s="5"/>
      <c r="U190" s="5"/>
      <c r="V190" s="5"/>
      <c r="W190" s="5"/>
      <c r="X190" s="5"/>
      <c r="Y190" s="5"/>
      <c r="Z190" s="5"/>
      <c r="AA190" s="5"/>
      <c r="AB190" s="5"/>
      <c r="AC190" s="5"/>
      <c r="AD190" s="5"/>
      <c r="AE190" s="5"/>
    </row>
    <row r="191" ht="15.75" customHeight="1">
      <c r="A191" s="5"/>
      <c r="B191" s="5"/>
      <c r="C191" s="5"/>
      <c r="D191" s="5"/>
      <c r="E191" s="5"/>
      <c r="F191" s="5"/>
      <c r="G191" s="112"/>
      <c r="H191" s="112"/>
      <c r="I191" s="112"/>
      <c r="J191" s="112"/>
      <c r="K191" s="112"/>
      <c r="L191" s="112"/>
      <c r="M191" s="112"/>
      <c r="N191" s="112"/>
      <c r="O191" s="112"/>
      <c r="P191" s="112"/>
      <c r="Q191" s="5"/>
      <c r="R191" s="5"/>
      <c r="S191" s="5"/>
      <c r="T191" s="5"/>
      <c r="U191" s="5"/>
      <c r="V191" s="5"/>
      <c r="W191" s="5"/>
      <c r="X191" s="5"/>
      <c r="Y191" s="5"/>
      <c r="Z191" s="5"/>
      <c r="AA191" s="5"/>
      <c r="AB191" s="5"/>
      <c r="AC191" s="5"/>
      <c r="AD191" s="5"/>
      <c r="AE191" s="5"/>
    </row>
    <row r="192" ht="15.75" customHeight="1">
      <c r="A192" s="5"/>
      <c r="B192" s="5"/>
      <c r="C192" s="5"/>
      <c r="D192" s="5"/>
      <c r="E192" s="5"/>
      <c r="F192" s="5"/>
      <c r="G192" s="112"/>
      <c r="H192" s="112"/>
      <c r="I192" s="112"/>
      <c r="J192" s="112"/>
      <c r="K192" s="112"/>
      <c r="L192" s="112"/>
      <c r="M192" s="112"/>
      <c r="N192" s="112"/>
      <c r="O192" s="112"/>
      <c r="P192" s="112"/>
      <c r="Q192" s="5"/>
      <c r="R192" s="5"/>
      <c r="S192" s="5"/>
      <c r="T192" s="5"/>
      <c r="U192" s="5"/>
      <c r="V192" s="5"/>
      <c r="W192" s="5"/>
      <c r="X192" s="5"/>
      <c r="Y192" s="5"/>
      <c r="Z192" s="5"/>
      <c r="AA192" s="5"/>
      <c r="AB192" s="5"/>
      <c r="AC192" s="5"/>
      <c r="AD192" s="5"/>
      <c r="AE192" s="5"/>
    </row>
    <row r="193" ht="15.75" customHeight="1">
      <c r="A193" s="5"/>
      <c r="B193" s="5"/>
      <c r="C193" s="5"/>
      <c r="D193" s="5"/>
      <c r="E193" s="5"/>
      <c r="F193" s="5"/>
      <c r="G193" s="112"/>
      <c r="H193" s="112"/>
      <c r="I193" s="112"/>
      <c r="J193" s="112"/>
      <c r="K193" s="112"/>
      <c r="L193" s="112"/>
      <c r="M193" s="112"/>
      <c r="N193" s="112"/>
      <c r="O193" s="112"/>
      <c r="P193" s="112"/>
      <c r="Q193" s="5"/>
      <c r="R193" s="5"/>
      <c r="S193" s="5"/>
      <c r="T193" s="5"/>
      <c r="U193" s="5"/>
      <c r="V193" s="5"/>
      <c r="W193" s="5"/>
      <c r="X193" s="5"/>
      <c r="Y193" s="5"/>
      <c r="Z193" s="5"/>
      <c r="AA193" s="5"/>
      <c r="AB193" s="5"/>
      <c r="AC193" s="5"/>
      <c r="AD193" s="5"/>
      <c r="AE193" s="5"/>
    </row>
    <row r="194" ht="15.75" customHeight="1">
      <c r="A194" s="5"/>
      <c r="B194" s="5"/>
      <c r="C194" s="5"/>
      <c r="D194" s="5"/>
      <c r="E194" s="5"/>
      <c r="F194" s="5"/>
      <c r="G194" s="112"/>
      <c r="H194" s="112"/>
      <c r="I194" s="112"/>
      <c r="J194" s="112"/>
      <c r="K194" s="112"/>
      <c r="L194" s="112"/>
      <c r="M194" s="112"/>
      <c r="N194" s="112"/>
      <c r="O194" s="112"/>
      <c r="P194" s="112"/>
      <c r="Q194" s="5"/>
      <c r="R194" s="5"/>
      <c r="S194" s="5"/>
      <c r="T194" s="5"/>
      <c r="U194" s="5"/>
      <c r="V194" s="5"/>
      <c r="W194" s="5"/>
      <c r="X194" s="5"/>
      <c r="Y194" s="5"/>
      <c r="Z194" s="5"/>
      <c r="AA194" s="5"/>
      <c r="AB194" s="5"/>
      <c r="AC194" s="5"/>
      <c r="AD194" s="5"/>
      <c r="AE194" s="5"/>
    </row>
    <row r="195" ht="15.75" customHeight="1">
      <c r="A195" s="5"/>
      <c r="B195" s="5"/>
      <c r="C195" s="5"/>
      <c r="D195" s="5"/>
      <c r="E195" s="5"/>
      <c r="F195" s="5"/>
      <c r="G195" s="112"/>
      <c r="H195" s="112"/>
      <c r="I195" s="112"/>
      <c r="J195" s="112"/>
      <c r="K195" s="112"/>
      <c r="L195" s="112"/>
      <c r="M195" s="112"/>
      <c r="N195" s="112"/>
      <c r="O195" s="112"/>
      <c r="P195" s="112"/>
      <c r="Q195" s="5"/>
      <c r="R195" s="5"/>
      <c r="S195" s="5"/>
      <c r="T195" s="5"/>
      <c r="U195" s="5"/>
      <c r="V195" s="5"/>
      <c r="W195" s="5"/>
      <c r="X195" s="5"/>
      <c r="Y195" s="5"/>
      <c r="Z195" s="5"/>
      <c r="AA195" s="5"/>
      <c r="AB195" s="5"/>
      <c r="AC195" s="5"/>
      <c r="AD195" s="5"/>
      <c r="AE195" s="5"/>
    </row>
    <row r="196" ht="15.75" customHeight="1">
      <c r="A196" s="5"/>
      <c r="B196" s="5"/>
      <c r="C196" s="5"/>
      <c r="D196" s="5"/>
      <c r="E196" s="5"/>
      <c r="F196" s="5"/>
      <c r="G196" s="112"/>
      <c r="H196" s="112"/>
      <c r="I196" s="112"/>
      <c r="J196" s="112"/>
      <c r="K196" s="112"/>
      <c r="L196" s="112"/>
      <c r="M196" s="112"/>
      <c r="N196" s="112"/>
      <c r="O196" s="112"/>
      <c r="P196" s="112"/>
      <c r="Q196" s="5"/>
      <c r="R196" s="5"/>
      <c r="S196" s="5"/>
      <c r="T196" s="5"/>
      <c r="U196" s="5"/>
      <c r="V196" s="5"/>
      <c r="W196" s="5"/>
      <c r="X196" s="5"/>
      <c r="Y196" s="5"/>
      <c r="Z196" s="5"/>
      <c r="AA196" s="5"/>
      <c r="AB196" s="5"/>
      <c r="AC196" s="5"/>
      <c r="AD196" s="5"/>
      <c r="AE196" s="5"/>
    </row>
    <row r="197" ht="15.75" customHeight="1">
      <c r="A197" s="5"/>
      <c r="B197" s="5"/>
      <c r="C197" s="5"/>
      <c r="D197" s="5"/>
      <c r="E197" s="5"/>
      <c r="F197" s="5"/>
      <c r="G197" s="112"/>
      <c r="H197" s="112"/>
      <c r="I197" s="112"/>
      <c r="J197" s="112"/>
      <c r="K197" s="112"/>
      <c r="L197" s="112"/>
      <c r="M197" s="112"/>
      <c r="N197" s="112"/>
      <c r="O197" s="112"/>
      <c r="P197" s="112"/>
      <c r="Q197" s="5"/>
      <c r="R197" s="5"/>
      <c r="S197" s="5"/>
      <c r="T197" s="5"/>
      <c r="U197" s="5"/>
      <c r="V197" s="5"/>
      <c r="W197" s="5"/>
      <c r="X197" s="5"/>
      <c r="Y197" s="5"/>
      <c r="Z197" s="5"/>
      <c r="AA197" s="5"/>
      <c r="AB197" s="5"/>
      <c r="AC197" s="5"/>
      <c r="AD197" s="5"/>
      <c r="AE197" s="5"/>
    </row>
    <row r="198" ht="15.75" customHeight="1">
      <c r="A198" s="5"/>
      <c r="B198" s="5"/>
      <c r="C198" s="5"/>
      <c r="D198" s="5"/>
      <c r="E198" s="5"/>
      <c r="F198" s="5"/>
      <c r="G198" s="112"/>
      <c r="H198" s="112"/>
      <c r="I198" s="112"/>
      <c r="J198" s="112"/>
      <c r="K198" s="112"/>
      <c r="L198" s="112"/>
      <c r="M198" s="112"/>
      <c r="N198" s="112"/>
      <c r="O198" s="112"/>
      <c r="P198" s="112"/>
      <c r="Q198" s="5"/>
      <c r="R198" s="5"/>
      <c r="S198" s="5"/>
      <c r="T198" s="5"/>
      <c r="U198" s="5"/>
      <c r="V198" s="5"/>
      <c r="W198" s="5"/>
      <c r="X198" s="5"/>
      <c r="Y198" s="5"/>
      <c r="Z198" s="5"/>
      <c r="AA198" s="5"/>
      <c r="AB198" s="5"/>
      <c r="AC198" s="5"/>
      <c r="AD198" s="5"/>
      <c r="AE198" s="5"/>
    </row>
    <row r="199" ht="15.75" customHeight="1">
      <c r="A199" s="5"/>
      <c r="B199" s="5"/>
      <c r="C199" s="5"/>
      <c r="D199" s="5"/>
      <c r="E199" s="5"/>
      <c r="F199" s="5"/>
      <c r="G199" s="112"/>
      <c r="H199" s="112"/>
      <c r="I199" s="112"/>
      <c r="J199" s="112"/>
      <c r="K199" s="112"/>
      <c r="L199" s="112"/>
      <c r="M199" s="112"/>
      <c r="N199" s="112"/>
      <c r="O199" s="112"/>
      <c r="P199" s="112"/>
      <c r="Q199" s="5"/>
      <c r="R199" s="5"/>
      <c r="S199" s="5"/>
      <c r="T199" s="5"/>
      <c r="U199" s="5"/>
      <c r="V199" s="5"/>
      <c r="W199" s="5"/>
      <c r="X199" s="5"/>
      <c r="Y199" s="5"/>
      <c r="Z199" s="5"/>
      <c r="AA199" s="5"/>
      <c r="AB199" s="5"/>
      <c r="AC199" s="5"/>
      <c r="AD199" s="5"/>
      <c r="AE199" s="5"/>
    </row>
    <row r="200" ht="15.75" customHeight="1">
      <c r="A200" s="5"/>
      <c r="B200" s="5"/>
      <c r="C200" s="5"/>
      <c r="D200" s="5"/>
      <c r="E200" s="5"/>
      <c r="F200" s="5"/>
      <c r="G200" s="112"/>
      <c r="H200" s="112"/>
      <c r="I200" s="112"/>
      <c r="J200" s="112"/>
      <c r="K200" s="112"/>
      <c r="L200" s="112"/>
      <c r="M200" s="112"/>
      <c r="N200" s="112"/>
      <c r="O200" s="112"/>
      <c r="P200" s="112"/>
      <c r="Q200" s="5"/>
      <c r="R200" s="5"/>
      <c r="S200" s="5"/>
      <c r="T200" s="5"/>
      <c r="U200" s="5"/>
      <c r="V200" s="5"/>
      <c r="W200" s="5"/>
      <c r="X200" s="5"/>
      <c r="Y200" s="5"/>
      <c r="Z200" s="5"/>
      <c r="AA200" s="5"/>
      <c r="AB200" s="5"/>
      <c r="AC200" s="5"/>
      <c r="AD200" s="5"/>
      <c r="AE200" s="5"/>
    </row>
    <row r="201" ht="15.75" customHeight="1">
      <c r="A201" s="5"/>
      <c r="B201" s="5"/>
      <c r="C201" s="5"/>
      <c r="D201" s="5"/>
      <c r="E201" s="5"/>
      <c r="F201" s="5"/>
      <c r="G201" s="112"/>
      <c r="H201" s="112"/>
      <c r="I201" s="112"/>
      <c r="J201" s="112"/>
      <c r="K201" s="112"/>
      <c r="L201" s="112"/>
      <c r="M201" s="112"/>
      <c r="N201" s="112"/>
      <c r="O201" s="112"/>
      <c r="P201" s="112"/>
      <c r="Q201" s="5"/>
      <c r="R201" s="5"/>
      <c r="S201" s="5"/>
      <c r="T201" s="5"/>
      <c r="U201" s="5"/>
      <c r="V201" s="5"/>
      <c r="W201" s="5"/>
      <c r="X201" s="5"/>
      <c r="Y201" s="5"/>
      <c r="Z201" s="5"/>
      <c r="AA201" s="5"/>
      <c r="AB201" s="5"/>
      <c r="AC201" s="5"/>
      <c r="AD201" s="5"/>
      <c r="AE201" s="5"/>
    </row>
    <row r="202" ht="15.75" customHeight="1">
      <c r="A202" s="5"/>
      <c r="B202" s="5"/>
      <c r="C202" s="5"/>
      <c r="D202" s="5"/>
      <c r="E202" s="5"/>
      <c r="F202" s="5"/>
      <c r="G202" s="112"/>
      <c r="H202" s="112"/>
      <c r="I202" s="112"/>
      <c r="J202" s="112"/>
      <c r="K202" s="112"/>
      <c r="L202" s="112"/>
      <c r="M202" s="112"/>
      <c r="N202" s="112"/>
      <c r="O202" s="112"/>
      <c r="P202" s="112"/>
      <c r="Q202" s="5"/>
      <c r="R202" s="5"/>
      <c r="S202" s="5"/>
      <c r="T202" s="5"/>
      <c r="U202" s="5"/>
      <c r="V202" s="5"/>
      <c r="W202" s="5"/>
      <c r="X202" s="5"/>
      <c r="Y202" s="5"/>
      <c r="Z202" s="5"/>
      <c r="AA202" s="5"/>
      <c r="AB202" s="5"/>
      <c r="AC202" s="5"/>
      <c r="AD202" s="5"/>
      <c r="AE202" s="5"/>
    </row>
    <row r="203" ht="15.75" customHeight="1">
      <c r="A203" s="5"/>
      <c r="B203" s="5"/>
      <c r="C203" s="5"/>
      <c r="D203" s="5"/>
      <c r="E203" s="5"/>
      <c r="F203" s="5"/>
      <c r="G203" s="112"/>
      <c r="H203" s="112"/>
      <c r="I203" s="112"/>
      <c r="J203" s="112"/>
      <c r="K203" s="112"/>
      <c r="L203" s="112"/>
      <c r="M203" s="112"/>
      <c r="N203" s="112"/>
      <c r="O203" s="112"/>
      <c r="P203" s="112"/>
      <c r="Q203" s="5"/>
      <c r="R203" s="5"/>
      <c r="S203" s="5"/>
      <c r="T203" s="5"/>
      <c r="U203" s="5"/>
      <c r="V203" s="5"/>
      <c r="W203" s="5"/>
      <c r="X203" s="5"/>
      <c r="Y203" s="5"/>
      <c r="Z203" s="5"/>
      <c r="AA203" s="5"/>
      <c r="AB203" s="5"/>
      <c r="AC203" s="5"/>
      <c r="AD203" s="5"/>
      <c r="AE203" s="5"/>
    </row>
    <row r="204" ht="15.75" customHeight="1">
      <c r="A204" s="5"/>
      <c r="B204" s="5"/>
      <c r="C204" s="5"/>
      <c r="D204" s="5"/>
      <c r="E204" s="5"/>
      <c r="F204" s="5"/>
      <c r="G204" s="112"/>
      <c r="H204" s="112"/>
      <c r="I204" s="112"/>
      <c r="J204" s="112"/>
      <c r="K204" s="112"/>
      <c r="L204" s="112"/>
      <c r="M204" s="112"/>
      <c r="N204" s="112"/>
      <c r="O204" s="112"/>
      <c r="P204" s="112"/>
      <c r="Q204" s="5"/>
      <c r="R204" s="5"/>
      <c r="S204" s="5"/>
      <c r="T204" s="5"/>
      <c r="U204" s="5"/>
      <c r="V204" s="5"/>
      <c r="W204" s="5"/>
      <c r="X204" s="5"/>
      <c r="Y204" s="5"/>
      <c r="Z204" s="5"/>
      <c r="AA204" s="5"/>
      <c r="AB204" s="5"/>
      <c r="AC204" s="5"/>
      <c r="AD204" s="5"/>
      <c r="AE204" s="5"/>
    </row>
    <row r="205" ht="15.75" customHeight="1">
      <c r="A205" s="5"/>
      <c r="B205" s="5"/>
      <c r="C205" s="5"/>
      <c r="D205" s="5"/>
      <c r="E205" s="5"/>
      <c r="F205" s="5"/>
      <c r="G205" s="112"/>
      <c r="H205" s="112"/>
      <c r="I205" s="112"/>
      <c r="J205" s="112"/>
      <c r="K205" s="112"/>
      <c r="L205" s="112"/>
      <c r="M205" s="112"/>
      <c r="N205" s="112"/>
      <c r="O205" s="112"/>
      <c r="P205" s="112"/>
      <c r="Q205" s="5"/>
      <c r="R205" s="5"/>
      <c r="S205" s="5"/>
      <c r="T205" s="5"/>
      <c r="U205" s="5"/>
      <c r="V205" s="5"/>
      <c r="W205" s="5"/>
      <c r="X205" s="5"/>
      <c r="Y205" s="5"/>
      <c r="Z205" s="5"/>
      <c r="AA205" s="5"/>
      <c r="AB205" s="5"/>
      <c r="AC205" s="5"/>
      <c r="AD205" s="5"/>
      <c r="AE205" s="5"/>
    </row>
    <row r="206" ht="15.75" customHeight="1">
      <c r="A206" s="5"/>
      <c r="B206" s="5"/>
      <c r="C206" s="5"/>
      <c r="D206" s="5"/>
      <c r="E206" s="5"/>
      <c r="F206" s="5"/>
      <c r="G206" s="112"/>
      <c r="H206" s="112"/>
      <c r="I206" s="112"/>
      <c r="J206" s="112"/>
      <c r="K206" s="112"/>
      <c r="L206" s="112"/>
      <c r="M206" s="112"/>
      <c r="N206" s="112"/>
      <c r="O206" s="112"/>
      <c r="P206" s="112"/>
      <c r="Q206" s="5"/>
      <c r="R206" s="5"/>
      <c r="S206" s="5"/>
      <c r="T206" s="5"/>
      <c r="U206" s="5"/>
      <c r="V206" s="5"/>
      <c r="W206" s="5"/>
      <c r="X206" s="5"/>
      <c r="Y206" s="5"/>
      <c r="Z206" s="5"/>
      <c r="AA206" s="5"/>
      <c r="AB206" s="5"/>
      <c r="AC206" s="5"/>
      <c r="AD206" s="5"/>
      <c r="AE206" s="5"/>
    </row>
    <row r="207" ht="15.75" customHeight="1">
      <c r="A207" s="5"/>
      <c r="B207" s="5"/>
      <c r="C207" s="5"/>
      <c r="D207" s="5"/>
      <c r="E207" s="5"/>
      <c r="F207" s="5"/>
      <c r="G207" s="112"/>
      <c r="H207" s="112"/>
      <c r="I207" s="112"/>
      <c r="J207" s="112"/>
      <c r="K207" s="112"/>
      <c r="L207" s="112"/>
      <c r="M207" s="112"/>
      <c r="N207" s="112"/>
      <c r="O207" s="112"/>
      <c r="P207" s="112"/>
      <c r="Q207" s="5"/>
      <c r="R207" s="5"/>
      <c r="S207" s="5"/>
      <c r="T207" s="5"/>
      <c r="U207" s="5"/>
      <c r="V207" s="5"/>
      <c r="W207" s="5"/>
      <c r="X207" s="5"/>
      <c r="Y207" s="5"/>
      <c r="Z207" s="5"/>
      <c r="AA207" s="5"/>
      <c r="AB207" s="5"/>
      <c r="AC207" s="5"/>
      <c r="AD207" s="5"/>
      <c r="AE207" s="5"/>
    </row>
    <row r="208" ht="15.75" customHeight="1">
      <c r="A208" s="5"/>
      <c r="B208" s="5"/>
      <c r="C208" s="5"/>
      <c r="D208" s="5"/>
      <c r="E208" s="5"/>
      <c r="F208" s="5"/>
      <c r="G208" s="112"/>
      <c r="H208" s="112"/>
      <c r="I208" s="112"/>
      <c r="J208" s="112"/>
      <c r="K208" s="112"/>
      <c r="L208" s="112"/>
      <c r="M208" s="112"/>
      <c r="N208" s="112"/>
      <c r="O208" s="112"/>
      <c r="P208" s="112"/>
      <c r="Q208" s="5"/>
      <c r="R208" s="5"/>
      <c r="S208" s="5"/>
      <c r="T208" s="5"/>
      <c r="U208" s="5"/>
      <c r="V208" s="5"/>
      <c r="W208" s="5"/>
      <c r="X208" s="5"/>
      <c r="Y208" s="5"/>
      <c r="Z208" s="5"/>
      <c r="AA208" s="5"/>
      <c r="AB208" s="5"/>
      <c r="AC208" s="5"/>
      <c r="AD208" s="5"/>
      <c r="AE208" s="5"/>
    </row>
    <row r="209" ht="15.75" customHeight="1">
      <c r="A209" s="5"/>
      <c r="B209" s="5"/>
      <c r="C209" s="5"/>
      <c r="D209" s="5"/>
      <c r="E209" s="5"/>
      <c r="F209" s="5"/>
      <c r="G209" s="112"/>
      <c r="H209" s="112"/>
      <c r="I209" s="112"/>
      <c r="J209" s="112"/>
      <c r="K209" s="112"/>
      <c r="L209" s="112"/>
      <c r="M209" s="112"/>
      <c r="N209" s="112"/>
      <c r="O209" s="112"/>
      <c r="P209" s="112"/>
      <c r="Q209" s="5"/>
      <c r="R209" s="5"/>
      <c r="S209" s="5"/>
      <c r="T209" s="5"/>
      <c r="U209" s="5"/>
      <c r="V209" s="5"/>
      <c r="W209" s="5"/>
      <c r="X209" s="5"/>
      <c r="Y209" s="5"/>
      <c r="Z209" s="5"/>
      <c r="AA209" s="5"/>
      <c r="AB209" s="5"/>
      <c r="AC209" s="5"/>
      <c r="AD209" s="5"/>
      <c r="AE209" s="5"/>
    </row>
    <row r="210" ht="15.75" customHeight="1">
      <c r="A210" s="5"/>
      <c r="B210" s="5"/>
      <c r="C210" s="5"/>
      <c r="D210" s="5"/>
      <c r="E210" s="5"/>
      <c r="F210" s="5"/>
      <c r="G210" s="112"/>
      <c r="H210" s="112"/>
      <c r="I210" s="112"/>
      <c r="J210" s="112"/>
      <c r="K210" s="112"/>
      <c r="L210" s="112"/>
      <c r="M210" s="112"/>
      <c r="N210" s="112"/>
      <c r="O210" s="112"/>
      <c r="P210" s="112"/>
      <c r="Q210" s="5"/>
      <c r="R210" s="5"/>
      <c r="S210" s="5"/>
      <c r="T210" s="5"/>
      <c r="U210" s="5"/>
      <c r="V210" s="5"/>
      <c r="W210" s="5"/>
      <c r="X210" s="5"/>
      <c r="Y210" s="5"/>
      <c r="Z210" s="5"/>
      <c r="AA210" s="5"/>
      <c r="AB210" s="5"/>
      <c r="AC210" s="5"/>
      <c r="AD210" s="5"/>
      <c r="AE210" s="5"/>
    </row>
    <row r="211" ht="15.75" customHeight="1">
      <c r="A211" s="5"/>
      <c r="B211" s="5"/>
      <c r="C211" s="5"/>
      <c r="D211" s="5"/>
      <c r="E211" s="5"/>
      <c r="F211" s="5"/>
      <c r="G211" s="112"/>
      <c r="H211" s="112"/>
      <c r="I211" s="112"/>
      <c r="J211" s="112"/>
      <c r="K211" s="112"/>
      <c r="L211" s="112"/>
      <c r="M211" s="112"/>
      <c r="N211" s="112"/>
      <c r="O211" s="112"/>
      <c r="P211" s="112"/>
      <c r="Q211" s="5"/>
      <c r="R211" s="5"/>
      <c r="S211" s="5"/>
      <c r="T211" s="5"/>
      <c r="U211" s="5"/>
      <c r="V211" s="5"/>
      <c r="W211" s="5"/>
      <c r="X211" s="5"/>
      <c r="Y211" s="5"/>
      <c r="Z211" s="5"/>
      <c r="AA211" s="5"/>
      <c r="AB211" s="5"/>
      <c r="AC211" s="5"/>
      <c r="AD211" s="5"/>
      <c r="AE211" s="5"/>
    </row>
    <row r="212" ht="15.75" customHeight="1">
      <c r="A212" s="5"/>
      <c r="B212" s="5"/>
      <c r="C212" s="5"/>
      <c r="D212" s="5"/>
      <c r="E212" s="5"/>
      <c r="F212" s="5"/>
      <c r="G212" s="112"/>
      <c r="H212" s="112"/>
      <c r="I212" s="112"/>
      <c r="J212" s="112"/>
      <c r="K212" s="112"/>
      <c r="L212" s="112"/>
      <c r="M212" s="112"/>
      <c r="N212" s="112"/>
      <c r="O212" s="112"/>
      <c r="P212" s="112"/>
      <c r="Q212" s="5"/>
      <c r="R212" s="5"/>
      <c r="S212" s="5"/>
      <c r="T212" s="5"/>
      <c r="U212" s="5"/>
      <c r="V212" s="5"/>
      <c r="W212" s="5"/>
      <c r="X212" s="5"/>
      <c r="Y212" s="5"/>
      <c r="Z212" s="5"/>
      <c r="AA212" s="5"/>
      <c r="AB212" s="5"/>
      <c r="AC212" s="5"/>
      <c r="AD212" s="5"/>
      <c r="AE212" s="5"/>
    </row>
    <row r="213" ht="15.75" customHeight="1">
      <c r="A213" s="5"/>
      <c r="B213" s="5"/>
      <c r="C213" s="5"/>
      <c r="D213" s="5"/>
      <c r="E213" s="5"/>
      <c r="F213" s="5"/>
      <c r="G213" s="112"/>
      <c r="H213" s="112"/>
      <c r="I213" s="112"/>
      <c r="J213" s="112"/>
      <c r="K213" s="112"/>
      <c r="L213" s="112"/>
      <c r="M213" s="112"/>
      <c r="N213" s="112"/>
      <c r="O213" s="112"/>
      <c r="P213" s="112"/>
      <c r="Q213" s="5"/>
      <c r="R213" s="5"/>
      <c r="S213" s="5"/>
      <c r="T213" s="5"/>
      <c r="U213" s="5"/>
      <c r="V213" s="5"/>
      <c r="W213" s="5"/>
      <c r="X213" s="5"/>
      <c r="Y213" s="5"/>
      <c r="Z213" s="5"/>
      <c r="AA213" s="5"/>
      <c r="AB213" s="5"/>
      <c r="AC213" s="5"/>
      <c r="AD213" s="5"/>
      <c r="AE213" s="5"/>
    </row>
    <row r="214" ht="15.75" customHeight="1">
      <c r="A214" s="5"/>
      <c r="B214" s="5"/>
      <c r="C214" s="5"/>
      <c r="D214" s="5"/>
      <c r="E214" s="5"/>
      <c r="F214" s="5"/>
      <c r="G214" s="112"/>
      <c r="H214" s="112"/>
      <c r="I214" s="112"/>
      <c r="J214" s="112"/>
      <c r="K214" s="112"/>
      <c r="L214" s="112"/>
      <c r="M214" s="112"/>
      <c r="N214" s="112"/>
      <c r="O214" s="112"/>
      <c r="P214" s="112"/>
      <c r="Q214" s="5"/>
      <c r="R214" s="5"/>
      <c r="S214" s="5"/>
      <c r="T214" s="5"/>
      <c r="U214" s="5"/>
      <c r="V214" s="5"/>
      <c r="W214" s="5"/>
      <c r="X214" s="5"/>
      <c r="Y214" s="5"/>
      <c r="Z214" s="5"/>
      <c r="AA214" s="5"/>
      <c r="AB214" s="5"/>
      <c r="AC214" s="5"/>
      <c r="AD214" s="5"/>
      <c r="AE214" s="5"/>
    </row>
    <row r="215" ht="15.75" customHeight="1">
      <c r="A215" s="5"/>
      <c r="B215" s="5"/>
      <c r="C215" s="5"/>
      <c r="D215" s="5"/>
      <c r="E215" s="5"/>
      <c r="F215" s="5"/>
      <c r="G215" s="112"/>
      <c r="H215" s="112"/>
      <c r="I215" s="112"/>
      <c r="J215" s="112"/>
      <c r="K215" s="112"/>
      <c r="L215" s="112"/>
      <c r="M215" s="112"/>
      <c r="N215" s="112"/>
      <c r="O215" s="112"/>
      <c r="P215" s="112"/>
      <c r="Q215" s="5"/>
      <c r="R215" s="5"/>
      <c r="S215" s="5"/>
      <c r="T215" s="5"/>
      <c r="U215" s="5"/>
      <c r="V215" s="5"/>
      <c r="W215" s="5"/>
      <c r="X215" s="5"/>
      <c r="Y215" s="5"/>
      <c r="Z215" s="5"/>
      <c r="AA215" s="5"/>
      <c r="AB215" s="5"/>
      <c r="AC215" s="5"/>
      <c r="AD215" s="5"/>
      <c r="AE215" s="5"/>
    </row>
    <row r="216" ht="15.75" customHeight="1">
      <c r="A216" s="5"/>
      <c r="B216" s="5"/>
      <c r="C216" s="5"/>
      <c r="D216" s="5"/>
      <c r="E216" s="5"/>
      <c r="F216" s="5"/>
      <c r="G216" s="112"/>
      <c r="H216" s="112"/>
      <c r="I216" s="112"/>
      <c r="J216" s="112"/>
      <c r="K216" s="112"/>
      <c r="L216" s="112"/>
      <c r="M216" s="112"/>
      <c r="N216" s="112"/>
      <c r="O216" s="112"/>
      <c r="P216" s="112"/>
      <c r="Q216" s="5"/>
      <c r="R216" s="5"/>
      <c r="S216" s="5"/>
      <c r="T216" s="5"/>
      <c r="U216" s="5"/>
      <c r="V216" s="5"/>
      <c r="W216" s="5"/>
      <c r="X216" s="5"/>
      <c r="Y216" s="5"/>
      <c r="Z216" s="5"/>
      <c r="AA216" s="5"/>
      <c r="AB216" s="5"/>
      <c r="AC216" s="5"/>
      <c r="AD216" s="5"/>
      <c r="AE216" s="5"/>
    </row>
    <row r="217" ht="15.75" customHeight="1">
      <c r="A217" s="5"/>
      <c r="B217" s="5"/>
      <c r="C217" s="5"/>
      <c r="D217" s="5"/>
      <c r="E217" s="5"/>
      <c r="F217" s="5"/>
      <c r="G217" s="112"/>
      <c r="H217" s="112"/>
      <c r="I217" s="112"/>
      <c r="J217" s="112"/>
      <c r="K217" s="112"/>
      <c r="L217" s="112"/>
      <c r="M217" s="112"/>
      <c r="N217" s="112"/>
      <c r="O217" s="112"/>
      <c r="P217" s="112"/>
      <c r="Q217" s="5"/>
      <c r="R217" s="5"/>
      <c r="S217" s="5"/>
      <c r="T217" s="5"/>
      <c r="U217" s="5"/>
      <c r="V217" s="5"/>
      <c r="W217" s="5"/>
      <c r="X217" s="5"/>
      <c r="Y217" s="5"/>
      <c r="Z217" s="5"/>
      <c r="AA217" s="5"/>
      <c r="AB217" s="5"/>
      <c r="AC217" s="5"/>
      <c r="AD217" s="5"/>
      <c r="AE217" s="5"/>
    </row>
    <row r="218" ht="15.75" customHeight="1">
      <c r="A218" s="5"/>
      <c r="B218" s="5"/>
      <c r="C218" s="5"/>
      <c r="D218" s="5"/>
      <c r="E218" s="5"/>
      <c r="F218" s="5"/>
      <c r="G218" s="112"/>
      <c r="H218" s="112"/>
      <c r="I218" s="112"/>
      <c r="J218" s="112"/>
      <c r="K218" s="112"/>
      <c r="L218" s="112"/>
      <c r="M218" s="112"/>
      <c r="N218" s="112"/>
      <c r="O218" s="112"/>
      <c r="P218" s="112"/>
      <c r="Q218" s="5"/>
      <c r="R218" s="5"/>
      <c r="S218" s="5"/>
      <c r="T218" s="5"/>
      <c r="U218" s="5"/>
      <c r="V218" s="5"/>
      <c r="W218" s="5"/>
      <c r="X218" s="5"/>
      <c r="Y218" s="5"/>
      <c r="Z218" s="5"/>
      <c r="AA218" s="5"/>
      <c r="AB218" s="5"/>
      <c r="AC218" s="5"/>
      <c r="AD218" s="5"/>
      <c r="AE218" s="5"/>
    </row>
    <row r="219" ht="15.75" customHeight="1">
      <c r="A219" s="5"/>
      <c r="B219" s="5"/>
      <c r="C219" s="5"/>
      <c r="D219" s="5"/>
      <c r="E219" s="5"/>
      <c r="F219" s="5"/>
      <c r="G219" s="112"/>
      <c r="H219" s="112"/>
      <c r="I219" s="112"/>
      <c r="J219" s="112"/>
      <c r="K219" s="112"/>
      <c r="L219" s="112"/>
      <c r="M219" s="112"/>
      <c r="N219" s="112"/>
      <c r="O219" s="112"/>
      <c r="P219" s="112"/>
      <c r="Q219" s="5"/>
      <c r="R219" s="5"/>
      <c r="S219" s="5"/>
      <c r="T219" s="5"/>
      <c r="U219" s="5"/>
      <c r="V219" s="5"/>
      <c r="W219" s="5"/>
      <c r="X219" s="5"/>
      <c r="Y219" s="5"/>
      <c r="Z219" s="5"/>
      <c r="AA219" s="5"/>
      <c r="AB219" s="5"/>
      <c r="AC219" s="5"/>
      <c r="AD219" s="5"/>
      <c r="AE219" s="5"/>
    </row>
    <row r="220" ht="15.75" customHeight="1">
      <c r="A220" s="5"/>
      <c r="B220" s="5"/>
      <c r="C220" s="5"/>
      <c r="D220" s="5"/>
      <c r="E220" s="5"/>
      <c r="F220" s="5"/>
      <c r="G220" s="112"/>
      <c r="H220" s="112"/>
      <c r="I220" s="112"/>
      <c r="J220" s="112"/>
      <c r="K220" s="112"/>
      <c r="L220" s="112"/>
      <c r="M220" s="112"/>
      <c r="N220" s="112"/>
      <c r="O220" s="112"/>
      <c r="P220" s="112"/>
      <c r="Q220" s="5"/>
      <c r="R220" s="5"/>
      <c r="S220" s="5"/>
      <c r="T220" s="5"/>
      <c r="U220" s="5"/>
      <c r="V220" s="5"/>
      <c r="W220" s="5"/>
      <c r="X220" s="5"/>
      <c r="Y220" s="5"/>
      <c r="Z220" s="5"/>
      <c r="AA220" s="5"/>
      <c r="AB220" s="5"/>
      <c r="AC220" s="5"/>
      <c r="AD220" s="5"/>
      <c r="AE220" s="5"/>
    </row>
    <row r="221" ht="15.75" customHeight="1">
      <c r="A221" s="5"/>
      <c r="B221" s="5"/>
      <c r="C221" s="5"/>
      <c r="D221" s="5"/>
      <c r="E221" s="5"/>
      <c r="F221" s="5"/>
      <c r="G221" s="112"/>
      <c r="H221" s="112"/>
      <c r="I221" s="112"/>
      <c r="J221" s="112"/>
      <c r="K221" s="112"/>
      <c r="L221" s="112"/>
      <c r="M221" s="112"/>
      <c r="N221" s="112"/>
      <c r="O221" s="112"/>
      <c r="P221" s="112"/>
      <c r="Q221" s="5"/>
      <c r="R221" s="5"/>
      <c r="S221" s="5"/>
      <c r="T221" s="5"/>
      <c r="U221" s="5"/>
      <c r="V221" s="5"/>
      <c r="W221" s="5"/>
      <c r="X221" s="5"/>
      <c r="Y221" s="5"/>
      <c r="Z221" s="5"/>
      <c r="AA221" s="5"/>
      <c r="AB221" s="5"/>
      <c r="AC221" s="5"/>
      <c r="AD221" s="5"/>
      <c r="AE221" s="5"/>
    </row>
    <row r="222" ht="15.75" customHeight="1">
      <c r="A222" s="5"/>
      <c r="B222" s="5"/>
      <c r="C222" s="5"/>
      <c r="D222" s="5"/>
      <c r="E222" s="5"/>
      <c r="F222" s="5"/>
      <c r="G222" s="112"/>
      <c r="H222" s="112"/>
      <c r="I222" s="112"/>
      <c r="J222" s="112"/>
      <c r="K222" s="112"/>
      <c r="L222" s="112"/>
      <c r="M222" s="112"/>
      <c r="N222" s="112"/>
      <c r="O222" s="112"/>
      <c r="P222" s="112"/>
      <c r="Q222" s="5"/>
      <c r="R222" s="5"/>
      <c r="S222" s="5"/>
      <c r="T222" s="5"/>
      <c r="U222" s="5"/>
      <c r="V222" s="5"/>
      <c r="W222" s="5"/>
      <c r="X222" s="5"/>
      <c r="Y222" s="5"/>
      <c r="Z222" s="5"/>
      <c r="AA222" s="5"/>
      <c r="AB222" s="5"/>
      <c r="AC222" s="5"/>
      <c r="AD222" s="5"/>
      <c r="AE222" s="5"/>
    </row>
    <row r="223" ht="15.75" customHeight="1">
      <c r="A223" s="5"/>
      <c r="B223" s="5"/>
      <c r="C223" s="5"/>
      <c r="D223" s="5"/>
      <c r="E223" s="5"/>
      <c r="F223" s="5"/>
      <c r="G223" s="112"/>
      <c r="H223" s="112"/>
      <c r="I223" s="112"/>
      <c r="J223" s="112"/>
      <c r="K223" s="112"/>
      <c r="L223" s="112"/>
      <c r="M223" s="112"/>
      <c r="N223" s="112"/>
      <c r="O223" s="112"/>
      <c r="P223" s="112"/>
      <c r="Q223" s="5"/>
      <c r="R223" s="5"/>
      <c r="S223" s="5"/>
      <c r="T223" s="5"/>
      <c r="U223" s="5"/>
      <c r="V223" s="5"/>
      <c r="W223" s="5"/>
      <c r="X223" s="5"/>
      <c r="Y223" s="5"/>
      <c r="Z223" s="5"/>
      <c r="AA223" s="5"/>
      <c r="AB223" s="5"/>
      <c r="AC223" s="5"/>
      <c r="AD223" s="5"/>
      <c r="AE223" s="5"/>
    </row>
    <row r="224" ht="15.75" customHeight="1">
      <c r="A224" s="5"/>
      <c r="B224" s="5"/>
      <c r="C224" s="5"/>
      <c r="D224" s="5"/>
      <c r="E224" s="5"/>
      <c r="F224" s="5"/>
      <c r="G224" s="112"/>
      <c r="H224" s="112"/>
      <c r="I224" s="112"/>
      <c r="J224" s="112"/>
      <c r="K224" s="112"/>
      <c r="L224" s="112"/>
      <c r="M224" s="112"/>
      <c r="N224" s="112"/>
      <c r="O224" s="112"/>
      <c r="P224" s="112"/>
      <c r="Q224" s="5"/>
      <c r="R224" s="5"/>
      <c r="S224" s="5"/>
      <c r="T224" s="5"/>
      <c r="U224" s="5"/>
      <c r="V224" s="5"/>
      <c r="W224" s="5"/>
      <c r="X224" s="5"/>
      <c r="Y224" s="5"/>
      <c r="Z224" s="5"/>
      <c r="AA224" s="5"/>
      <c r="AB224" s="5"/>
      <c r="AC224" s="5"/>
      <c r="AD224" s="5"/>
      <c r="AE224" s="5"/>
    </row>
    <row r="225" ht="15.75" customHeight="1">
      <c r="A225" s="5"/>
      <c r="B225" s="5"/>
      <c r="C225" s="5"/>
      <c r="D225" s="5"/>
      <c r="E225" s="5"/>
      <c r="F225" s="5"/>
      <c r="G225" s="112"/>
      <c r="H225" s="112"/>
      <c r="I225" s="112"/>
      <c r="J225" s="112"/>
      <c r="K225" s="112"/>
      <c r="L225" s="112"/>
      <c r="M225" s="112"/>
      <c r="N225" s="112"/>
      <c r="O225" s="112"/>
      <c r="P225" s="112"/>
      <c r="Q225" s="5"/>
      <c r="R225" s="5"/>
      <c r="S225" s="5"/>
      <c r="T225" s="5"/>
      <c r="U225" s="5"/>
      <c r="V225" s="5"/>
      <c r="W225" s="5"/>
      <c r="X225" s="5"/>
      <c r="Y225" s="5"/>
      <c r="Z225" s="5"/>
      <c r="AA225" s="5"/>
      <c r="AB225" s="5"/>
      <c r="AC225" s="5"/>
      <c r="AD225" s="5"/>
      <c r="AE225" s="5"/>
    </row>
    <row r="226" ht="15.75" customHeight="1">
      <c r="A226" s="5"/>
      <c r="B226" s="5"/>
      <c r="C226" s="5"/>
      <c r="D226" s="5"/>
      <c r="E226" s="5"/>
      <c r="F226" s="5"/>
      <c r="G226" s="112"/>
      <c r="H226" s="112"/>
      <c r="I226" s="112"/>
      <c r="J226" s="112"/>
      <c r="K226" s="112"/>
      <c r="L226" s="112"/>
      <c r="M226" s="112"/>
      <c r="N226" s="112"/>
      <c r="O226" s="112"/>
      <c r="P226" s="112"/>
      <c r="Q226" s="5"/>
      <c r="R226" s="5"/>
      <c r="S226" s="5"/>
      <c r="T226" s="5"/>
      <c r="U226" s="5"/>
      <c r="V226" s="5"/>
      <c r="W226" s="5"/>
      <c r="X226" s="5"/>
      <c r="Y226" s="5"/>
      <c r="Z226" s="5"/>
      <c r="AA226" s="5"/>
      <c r="AB226" s="5"/>
      <c r="AC226" s="5"/>
      <c r="AD226" s="5"/>
      <c r="AE226" s="5"/>
    </row>
    <row r="227" ht="15.75" customHeight="1">
      <c r="A227" s="5"/>
      <c r="B227" s="5"/>
      <c r="C227" s="5"/>
      <c r="D227" s="5"/>
      <c r="E227" s="5"/>
      <c r="F227" s="5"/>
      <c r="G227" s="112"/>
      <c r="H227" s="112"/>
      <c r="I227" s="112"/>
      <c r="J227" s="112"/>
      <c r="K227" s="112"/>
      <c r="L227" s="112"/>
      <c r="M227" s="112"/>
      <c r="N227" s="112"/>
      <c r="O227" s="112"/>
      <c r="P227" s="112"/>
      <c r="Q227" s="5"/>
      <c r="R227" s="5"/>
      <c r="S227" s="5"/>
      <c r="T227" s="5"/>
      <c r="U227" s="5"/>
      <c r="V227" s="5"/>
      <c r="W227" s="5"/>
      <c r="X227" s="5"/>
      <c r="Y227" s="5"/>
      <c r="Z227" s="5"/>
      <c r="AA227" s="5"/>
      <c r="AB227" s="5"/>
      <c r="AC227" s="5"/>
      <c r="AD227" s="5"/>
      <c r="AE227" s="5"/>
    </row>
    <row r="228" ht="15.75" customHeight="1">
      <c r="A228" s="5"/>
      <c r="B228" s="5"/>
      <c r="C228" s="5"/>
      <c r="D228" s="5"/>
      <c r="E228" s="5"/>
      <c r="F228" s="5"/>
      <c r="G228" s="112"/>
      <c r="H228" s="112"/>
      <c r="I228" s="112"/>
      <c r="J228" s="112"/>
      <c r="K228" s="112"/>
      <c r="L228" s="112"/>
      <c r="M228" s="112"/>
      <c r="N228" s="112"/>
      <c r="O228" s="112"/>
      <c r="P228" s="112"/>
      <c r="Q228" s="5"/>
      <c r="R228" s="5"/>
      <c r="S228" s="5"/>
      <c r="T228" s="5"/>
      <c r="U228" s="5"/>
      <c r="V228" s="5"/>
      <c r="W228" s="5"/>
      <c r="X228" s="5"/>
      <c r="Y228" s="5"/>
      <c r="Z228" s="5"/>
      <c r="AA228" s="5"/>
      <c r="AB228" s="5"/>
      <c r="AC228" s="5"/>
      <c r="AD228" s="5"/>
      <c r="AE228" s="5"/>
    </row>
    <row r="229" ht="15.75" customHeight="1">
      <c r="A229" s="5"/>
      <c r="B229" s="5"/>
      <c r="C229" s="5"/>
      <c r="D229" s="5"/>
      <c r="E229" s="5"/>
      <c r="F229" s="5"/>
      <c r="G229" s="112"/>
      <c r="H229" s="112"/>
      <c r="I229" s="112"/>
      <c r="J229" s="112"/>
      <c r="K229" s="112"/>
      <c r="L229" s="112"/>
      <c r="M229" s="112"/>
      <c r="N229" s="112"/>
      <c r="O229" s="112"/>
      <c r="P229" s="112"/>
      <c r="Q229" s="5"/>
      <c r="R229" s="5"/>
      <c r="S229" s="5"/>
      <c r="T229" s="5"/>
      <c r="U229" s="5"/>
      <c r="V229" s="5"/>
      <c r="W229" s="5"/>
      <c r="X229" s="5"/>
      <c r="Y229" s="5"/>
      <c r="Z229" s="5"/>
      <c r="AA229" s="5"/>
      <c r="AB229" s="5"/>
      <c r="AC229" s="5"/>
      <c r="AD229" s="5"/>
      <c r="AE229" s="5"/>
    </row>
    <row r="230" ht="15.75" customHeight="1">
      <c r="A230" s="5"/>
      <c r="B230" s="5"/>
      <c r="C230" s="5"/>
      <c r="D230" s="5"/>
      <c r="E230" s="5"/>
      <c r="F230" s="5"/>
      <c r="G230" s="112"/>
      <c r="H230" s="112"/>
      <c r="I230" s="112"/>
      <c r="J230" s="112"/>
      <c r="K230" s="112"/>
      <c r="L230" s="112"/>
      <c r="M230" s="112"/>
      <c r="N230" s="112"/>
      <c r="O230" s="112"/>
      <c r="P230" s="112"/>
      <c r="Q230" s="5"/>
      <c r="R230" s="5"/>
      <c r="S230" s="5"/>
      <c r="T230" s="5"/>
      <c r="U230" s="5"/>
      <c r="V230" s="5"/>
      <c r="W230" s="5"/>
      <c r="X230" s="5"/>
      <c r="Y230" s="5"/>
      <c r="Z230" s="5"/>
      <c r="AA230" s="5"/>
      <c r="AB230" s="5"/>
      <c r="AC230" s="5"/>
      <c r="AD230" s="5"/>
      <c r="AE230" s="5"/>
    </row>
    <row r="231" ht="15.75" customHeight="1">
      <c r="A231" s="5"/>
      <c r="B231" s="5"/>
      <c r="C231" s="5"/>
      <c r="D231" s="5"/>
      <c r="E231" s="5"/>
      <c r="F231" s="5"/>
      <c r="G231" s="112"/>
      <c r="H231" s="112"/>
      <c r="I231" s="112"/>
      <c r="J231" s="112"/>
      <c r="K231" s="112"/>
      <c r="L231" s="112"/>
      <c r="M231" s="112"/>
      <c r="N231" s="112"/>
      <c r="O231" s="112"/>
      <c r="P231" s="112"/>
      <c r="Q231" s="5"/>
      <c r="R231" s="5"/>
      <c r="S231" s="5"/>
      <c r="T231" s="5"/>
      <c r="U231" s="5"/>
      <c r="V231" s="5"/>
      <c r="W231" s="5"/>
      <c r="X231" s="5"/>
      <c r="Y231" s="5"/>
      <c r="Z231" s="5"/>
      <c r="AA231" s="5"/>
      <c r="AB231" s="5"/>
      <c r="AC231" s="5"/>
      <c r="AD231" s="5"/>
      <c r="AE231" s="5"/>
    </row>
    <row r="232" ht="15.75" customHeight="1">
      <c r="A232" s="5"/>
      <c r="B232" s="5"/>
      <c r="C232" s="5"/>
      <c r="D232" s="5"/>
      <c r="E232" s="5"/>
      <c r="F232" s="5"/>
      <c r="G232" s="112"/>
      <c r="H232" s="112"/>
      <c r="I232" s="112"/>
      <c r="J232" s="112"/>
      <c r="K232" s="112"/>
      <c r="L232" s="112"/>
      <c r="M232" s="112"/>
      <c r="N232" s="112"/>
      <c r="O232" s="112"/>
      <c r="P232" s="112"/>
      <c r="Q232" s="5"/>
      <c r="R232" s="5"/>
      <c r="S232" s="5"/>
      <c r="T232" s="5"/>
      <c r="U232" s="5"/>
      <c r="V232" s="5"/>
      <c r="W232" s="5"/>
      <c r="X232" s="5"/>
      <c r="Y232" s="5"/>
      <c r="Z232" s="5"/>
      <c r="AA232" s="5"/>
      <c r="AB232" s="5"/>
      <c r="AC232" s="5"/>
      <c r="AD232" s="5"/>
      <c r="AE232" s="5"/>
    </row>
    <row r="233" ht="15.75" customHeight="1">
      <c r="A233" s="5"/>
      <c r="B233" s="5"/>
      <c r="C233" s="5"/>
      <c r="D233" s="5"/>
      <c r="E233" s="5"/>
      <c r="F233" s="5"/>
      <c r="G233" s="112"/>
      <c r="H233" s="112"/>
      <c r="I233" s="112"/>
      <c r="J233" s="112"/>
      <c r="K233" s="112"/>
      <c r="L233" s="112"/>
      <c r="M233" s="112"/>
      <c r="N233" s="112"/>
      <c r="O233" s="112"/>
      <c r="P233" s="112"/>
      <c r="Q233" s="5"/>
      <c r="R233" s="5"/>
      <c r="S233" s="5"/>
      <c r="T233" s="5"/>
      <c r="U233" s="5"/>
      <c r="V233" s="5"/>
      <c r="W233" s="5"/>
      <c r="X233" s="5"/>
      <c r="Y233" s="5"/>
      <c r="Z233" s="5"/>
      <c r="AA233" s="5"/>
      <c r="AB233" s="5"/>
      <c r="AC233" s="5"/>
      <c r="AD233" s="5"/>
      <c r="AE233" s="5"/>
    </row>
    <row r="234" ht="15.75" customHeight="1">
      <c r="A234" s="5"/>
      <c r="B234" s="5"/>
      <c r="C234" s="5"/>
      <c r="D234" s="5"/>
      <c r="E234" s="5"/>
      <c r="F234" s="5"/>
      <c r="G234" s="112"/>
      <c r="H234" s="112"/>
      <c r="I234" s="112"/>
      <c r="J234" s="112"/>
      <c r="K234" s="112"/>
      <c r="L234" s="112"/>
      <c r="M234" s="112"/>
      <c r="N234" s="112"/>
      <c r="O234" s="112"/>
      <c r="P234" s="112"/>
      <c r="Q234" s="5"/>
      <c r="R234" s="5"/>
      <c r="S234" s="5"/>
      <c r="T234" s="5"/>
      <c r="U234" s="5"/>
      <c r="V234" s="5"/>
      <c r="W234" s="5"/>
      <c r="X234" s="5"/>
      <c r="Y234" s="5"/>
      <c r="Z234" s="5"/>
      <c r="AA234" s="5"/>
      <c r="AB234" s="5"/>
      <c r="AC234" s="5"/>
      <c r="AD234" s="5"/>
      <c r="AE234" s="5"/>
    </row>
    <row r="235" ht="15.75" customHeight="1">
      <c r="A235" s="5"/>
      <c r="B235" s="5"/>
      <c r="C235" s="5"/>
      <c r="D235" s="5"/>
      <c r="E235" s="5"/>
      <c r="F235" s="5"/>
      <c r="G235" s="112"/>
      <c r="H235" s="112"/>
      <c r="I235" s="112"/>
      <c r="J235" s="112"/>
      <c r="K235" s="112"/>
      <c r="L235" s="112"/>
      <c r="M235" s="112"/>
      <c r="N235" s="112"/>
      <c r="O235" s="112"/>
      <c r="P235" s="112"/>
      <c r="Q235" s="5"/>
      <c r="R235" s="5"/>
      <c r="S235" s="5"/>
      <c r="T235" s="5"/>
      <c r="U235" s="5"/>
      <c r="V235" s="5"/>
      <c r="W235" s="5"/>
      <c r="X235" s="5"/>
      <c r="Y235" s="5"/>
      <c r="Z235" s="5"/>
      <c r="AA235" s="5"/>
      <c r="AB235" s="5"/>
      <c r="AC235" s="5"/>
      <c r="AD235" s="5"/>
      <c r="AE235" s="5"/>
    </row>
    <row r="236" ht="15.75" customHeight="1">
      <c r="A236" s="5"/>
      <c r="B236" s="5"/>
      <c r="C236" s="5"/>
      <c r="D236" s="5"/>
      <c r="E236" s="5"/>
      <c r="F236" s="5"/>
      <c r="G236" s="112"/>
      <c r="H236" s="112"/>
      <c r="I236" s="112"/>
      <c r="J236" s="112"/>
      <c r="K236" s="112"/>
      <c r="L236" s="112"/>
      <c r="M236" s="112"/>
      <c r="N236" s="112"/>
      <c r="O236" s="112"/>
      <c r="P236" s="112"/>
      <c r="Q236" s="5"/>
      <c r="R236" s="5"/>
      <c r="S236" s="5"/>
      <c r="T236" s="5"/>
      <c r="U236" s="5"/>
      <c r="V236" s="5"/>
      <c r="W236" s="5"/>
      <c r="X236" s="5"/>
      <c r="Y236" s="5"/>
      <c r="Z236" s="5"/>
      <c r="AA236" s="5"/>
      <c r="AB236" s="5"/>
      <c r="AC236" s="5"/>
      <c r="AD236" s="5"/>
      <c r="AE236" s="5"/>
    </row>
    <row r="237" ht="15.75" customHeight="1">
      <c r="A237" s="5"/>
      <c r="B237" s="5"/>
      <c r="C237" s="5"/>
      <c r="D237" s="5"/>
      <c r="E237" s="5"/>
      <c r="F237" s="5"/>
      <c r="G237" s="112"/>
      <c r="H237" s="112"/>
      <c r="I237" s="112"/>
      <c r="J237" s="112"/>
      <c r="K237" s="112"/>
      <c r="L237" s="112"/>
      <c r="M237" s="112"/>
      <c r="N237" s="112"/>
      <c r="O237" s="112"/>
      <c r="P237" s="112"/>
      <c r="Q237" s="5"/>
      <c r="R237" s="5"/>
      <c r="S237" s="5"/>
      <c r="T237" s="5"/>
      <c r="U237" s="5"/>
      <c r="V237" s="5"/>
      <c r="W237" s="5"/>
      <c r="X237" s="5"/>
      <c r="Y237" s="5"/>
      <c r="Z237" s="5"/>
      <c r="AA237" s="5"/>
      <c r="AB237" s="5"/>
      <c r="AC237" s="5"/>
      <c r="AD237" s="5"/>
      <c r="AE237" s="5"/>
    </row>
    <row r="238" ht="15.75" customHeight="1">
      <c r="A238" s="5"/>
      <c r="B238" s="5"/>
      <c r="C238" s="5"/>
      <c r="D238" s="5"/>
      <c r="E238" s="5"/>
      <c r="F238" s="5"/>
      <c r="G238" s="112"/>
      <c r="H238" s="112"/>
      <c r="I238" s="112"/>
      <c r="J238" s="112"/>
      <c r="K238" s="112"/>
      <c r="L238" s="112"/>
      <c r="M238" s="112"/>
      <c r="N238" s="112"/>
      <c r="O238" s="112"/>
      <c r="P238" s="112"/>
      <c r="Q238" s="5"/>
      <c r="R238" s="5"/>
      <c r="S238" s="5"/>
      <c r="T238" s="5"/>
      <c r="U238" s="5"/>
      <c r="V238" s="5"/>
      <c r="W238" s="5"/>
      <c r="X238" s="5"/>
      <c r="Y238" s="5"/>
      <c r="Z238" s="5"/>
      <c r="AA238" s="5"/>
      <c r="AB238" s="5"/>
      <c r="AC238" s="5"/>
      <c r="AD238" s="5"/>
      <c r="AE238" s="5"/>
    </row>
    <row r="239" ht="15.75" customHeight="1">
      <c r="A239" s="5"/>
      <c r="B239" s="5"/>
      <c r="C239" s="5"/>
      <c r="D239" s="5"/>
      <c r="E239" s="5"/>
      <c r="F239" s="5"/>
      <c r="G239" s="112"/>
      <c r="H239" s="112"/>
      <c r="I239" s="112"/>
      <c r="J239" s="112"/>
      <c r="K239" s="112"/>
      <c r="L239" s="112"/>
      <c r="M239" s="112"/>
      <c r="N239" s="112"/>
      <c r="O239" s="112"/>
      <c r="P239" s="112"/>
      <c r="Q239" s="5"/>
      <c r="R239" s="5"/>
      <c r="S239" s="5"/>
      <c r="T239" s="5"/>
      <c r="U239" s="5"/>
      <c r="V239" s="5"/>
      <c r="W239" s="5"/>
      <c r="X239" s="5"/>
      <c r="Y239" s="5"/>
      <c r="Z239" s="5"/>
      <c r="AA239" s="5"/>
      <c r="AB239" s="5"/>
      <c r="AC239" s="5"/>
      <c r="AD239" s="5"/>
      <c r="AE239" s="5"/>
    </row>
    <row r="240" ht="15.75" customHeight="1">
      <c r="A240" s="5"/>
      <c r="B240" s="5"/>
      <c r="C240" s="5"/>
      <c r="D240" s="5"/>
      <c r="E240" s="5"/>
      <c r="F240" s="5"/>
      <c r="G240" s="112"/>
      <c r="H240" s="112"/>
      <c r="I240" s="112"/>
      <c r="J240" s="112"/>
      <c r="K240" s="112"/>
      <c r="L240" s="112"/>
      <c r="M240" s="112"/>
      <c r="N240" s="112"/>
      <c r="O240" s="112"/>
      <c r="P240" s="112"/>
      <c r="Q240" s="5"/>
      <c r="R240" s="5"/>
      <c r="S240" s="5"/>
      <c r="T240" s="5"/>
      <c r="U240" s="5"/>
      <c r="V240" s="5"/>
      <c r="W240" s="5"/>
      <c r="X240" s="5"/>
      <c r="Y240" s="5"/>
      <c r="Z240" s="5"/>
      <c r="AA240" s="5"/>
      <c r="AB240" s="5"/>
      <c r="AC240" s="5"/>
      <c r="AD240" s="5"/>
      <c r="AE240" s="5"/>
    </row>
    <row r="241" ht="15.75" customHeight="1">
      <c r="A241" s="5"/>
      <c r="B241" s="5"/>
      <c r="C241" s="5"/>
      <c r="D241" s="5"/>
      <c r="E241" s="5"/>
      <c r="F241" s="5"/>
      <c r="G241" s="112"/>
      <c r="H241" s="112"/>
      <c r="I241" s="112"/>
      <c r="J241" s="112"/>
      <c r="K241" s="112"/>
      <c r="L241" s="112"/>
      <c r="M241" s="112"/>
      <c r="N241" s="112"/>
      <c r="O241" s="112"/>
      <c r="P241" s="112"/>
      <c r="Q241" s="5"/>
      <c r="R241" s="5"/>
      <c r="S241" s="5"/>
      <c r="T241" s="5"/>
      <c r="U241" s="5"/>
      <c r="V241" s="5"/>
      <c r="W241" s="5"/>
      <c r="X241" s="5"/>
      <c r="Y241" s="5"/>
      <c r="Z241" s="5"/>
      <c r="AA241" s="5"/>
      <c r="AB241" s="5"/>
      <c r="AC241" s="5"/>
      <c r="AD241" s="5"/>
      <c r="AE241" s="5"/>
    </row>
    <row r="242" ht="15.75" customHeight="1">
      <c r="A242" s="5"/>
      <c r="B242" s="5"/>
      <c r="C242" s="5"/>
      <c r="D242" s="5"/>
      <c r="E242" s="5"/>
      <c r="F242" s="5"/>
      <c r="G242" s="112"/>
      <c r="H242" s="112"/>
      <c r="I242" s="112"/>
      <c r="J242" s="112"/>
      <c r="K242" s="112"/>
      <c r="L242" s="112"/>
      <c r="M242" s="112"/>
      <c r="N242" s="112"/>
      <c r="O242" s="112"/>
      <c r="P242" s="112"/>
      <c r="Q242" s="5"/>
      <c r="R242" s="5"/>
      <c r="S242" s="5"/>
      <c r="T242" s="5"/>
      <c r="U242" s="5"/>
      <c r="V242" s="5"/>
      <c r="W242" s="5"/>
      <c r="X242" s="5"/>
      <c r="Y242" s="5"/>
      <c r="Z242" s="5"/>
      <c r="AA242" s="5"/>
      <c r="AB242" s="5"/>
      <c r="AC242" s="5"/>
      <c r="AD242" s="5"/>
      <c r="AE242" s="5"/>
    </row>
    <row r="243" ht="15.75" customHeight="1">
      <c r="A243" s="5"/>
      <c r="B243" s="5"/>
      <c r="C243" s="5"/>
      <c r="D243" s="5"/>
      <c r="E243" s="5"/>
      <c r="F243" s="5"/>
      <c r="G243" s="112"/>
      <c r="H243" s="112"/>
      <c r="I243" s="112"/>
      <c r="J243" s="112"/>
      <c r="K243" s="112"/>
      <c r="L243" s="112"/>
      <c r="M243" s="112"/>
      <c r="N243" s="112"/>
      <c r="O243" s="112"/>
      <c r="P243" s="112"/>
      <c r="Q243" s="5"/>
      <c r="R243" s="5"/>
      <c r="S243" s="5"/>
      <c r="T243" s="5"/>
      <c r="U243" s="5"/>
      <c r="V243" s="5"/>
      <c r="W243" s="5"/>
      <c r="X243" s="5"/>
      <c r="Y243" s="5"/>
      <c r="Z243" s="5"/>
      <c r="AA243" s="5"/>
      <c r="AB243" s="5"/>
      <c r="AC243" s="5"/>
      <c r="AD243" s="5"/>
      <c r="AE243" s="5"/>
    </row>
    <row r="244" ht="15.75" customHeight="1">
      <c r="A244" s="5"/>
      <c r="B244" s="5"/>
      <c r="C244" s="5"/>
      <c r="D244" s="5"/>
      <c r="E244" s="5"/>
      <c r="F244" s="5"/>
      <c r="G244" s="112"/>
      <c r="H244" s="112"/>
      <c r="I244" s="112"/>
      <c r="J244" s="112"/>
      <c r="K244" s="112"/>
      <c r="L244" s="112"/>
      <c r="M244" s="112"/>
      <c r="N244" s="112"/>
      <c r="O244" s="112"/>
      <c r="P244" s="112"/>
      <c r="Q244" s="5"/>
      <c r="R244" s="5"/>
      <c r="S244" s="5"/>
      <c r="T244" s="5"/>
      <c r="U244" s="5"/>
      <c r="V244" s="5"/>
      <c r="W244" s="5"/>
      <c r="X244" s="5"/>
      <c r="Y244" s="5"/>
      <c r="Z244" s="5"/>
      <c r="AA244" s="5"/>
      <c r="AB244" s="5"/>
      <c r="AC244" s="5"/>
      <c r="AD244" s="5"/>
      <c r="AE244" s="5"/>
    </row>
    <row r="245" ht="15.75" customHeight="1">
      <c r="A245" s="5"/>
      <c r="B245" s="5"/>
      <c r="C245" s="5"/>
      <c r="D245" s="5"/>
      <c r="E245" s="5"/>
      <c r="F245" s="5"/>
      <c r="G245" s="112"/>
      <c r="H245" s="112"/>
      <c r="I245" s="112"/>
      <c r="J245" s="112"/>
      <c r="K245" s="112"/>
      <c r="L245" s="112"/>
      <c r="M245" s="112"/>
      <c r="N245" s="112"/>
      <c r="O245" s="112"/>
      <c r="P245" s="112"/>
      <c r="Q245" s="5"/>
      <c r="R245" s="5"/>
      <c r="S245" s="5"/>
      <c r="T245" s="5"/>
      <c r="U245" s="5"/>
      <c r="V245" s="5"/>
      <c r="W245" s="5"/>
      <c r="X245" s="5"/>
      <c r="Y245" s="5"/>
      <c r="Z245" s="5"/>
      <c r="AA245" s="5"/>
      <c r="AB245" s="5"/>
      <c r="AC245" s="5"/>
      <c r="AD245" s="5"/>
      <c r="AE245" s="5"/>
    </row>
    <row r="246" ht="15.75" customHeight="1">
      <c r="A246" s="5"/>
      <c r="B246" s="5"/>
      <c r="C246" s="5"/>
      <c r="D246" s="5"/>
      <c r="E246" s="5"/>
      <c r="F246" s="5"/>
      <c r="G246" s="112"/>
      <c r="H246" s="112"/>
      <c r="I246" s="112"/>
      <c r="J246" s="112"/>
      <c r="K246" s="112"/>
      <c r="L246" s="112"/>
      <c r="M246" s="112"/>
      <c r="N246" s="112"/>
      <c r="O246" s="112"/>
      <c r="P246" s="112"/>
      <c r="Q246" s="5"/>
      <c r="R246" s="5"/>
      <c r="S246" s="5"/>
      <c r="T246" s="5"/>
      <c r="U246" s="5"/>
      <c r="V246" s="5"/>
      <c r="W246" s="5"/>
      <c r="X246" s="5"/>
      <c r="Y246" s="5"/>
      <c r="Z246" s="5"/>
      <c r="AA246" s="5"/>
      <c r="AB246" s="5"/>
      <c r="AC246" s="5"/>
      <c r="AD246" s="5"/>
      <c r="AE246" s="5"/>
    </row>
    <row r="247" ht="15.75" customHeight="1">
      <c r="A247" s="5"/>
      <c r="B247" s="5"/>
      <c r="C247" s="5"/>
      <c r="D247" s="5"/>
      <c r="E247" s="5"/>
      <c r="F247" s="5"/>
      <c r="G247" s="112"/>
      <c r="H247" s="112"/>
      <c r="I247" s="112"/>
      <c r="J247" s="112"/>
      <c r="K247" s="112"/>
      <c r="L247" s="112"/>
      <c r="M247" s="112"/>
      <c r="N247" s="112"/>
      <c r="O247" s="112"/>
      <c r="P247" s="112"/>
      <c r="Q247" s="5"/>
      <c r="R247" s="5"/>
      <c r="S247" s="5"/>
      <c r="T247" s="5"/>
      <c r="U247" s="5"/>
      <c r="V247" s="5"/>
      <c r="W247" s="5"/>
      <c r="X247" s="5"/>
      <c r="Y247" s="5"/>
      <c r="Z247" s="5"/>
      <c r="AA247" s="5"/>
      <c r="AB247" s="5"/>
      <c r="AC247" s="5"/>
      <c r="AD247" s="5"/>
      <c r="AE247" s="5"/>
    </row>
    <row r="248" ht="15.75" customHeight="1">
      <c r="A248" s="5"/>
      <c r="B248" s="5"/>
      <c r="C248" s="5"/>
      <c r="D248" s="5"/>
      <c r="E248" s="5"/>
      <c r="F248" s="5"/>
      <c r="G248" s="112"/>
      <c r="H248" s="112"/>
      <c r="I248" s="112"/>
      <c r="J248" s="112"/>
      <c r="K248" s="112"/>
      <c r="L248" s="112"/>
      <c r="M248" s="112"/>
      <c r="N248" s="112"/>
      <c r="O248" s="112"/>
      <c r="P248" s="112"/>
      <c r="Q248" s="5"/>
      <c r="R248" s="5"/>
      <c r="S248" s="5"/>
      <c r="T248" s="5"/>
      <c r="U248" s="5"/>
      <c r="V248" s="5"/>
      <c r="W248" s="5"/>
      <c r="X248" s="5"/>
      <c r="Y248" s="5"/>
      <c r="Z248" s="5"/>
      <c r="AA248" s="5"/>
      <c r="AB248" s="5"/>
      <c r="AC248" s="5"/>
      <c r="AD248" s="5"/>
      <c r="AE248" s="5"/>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3">
    <mergeCell ref="A1:C2"/>
    <mergeCell ref="D1:R1"/>
    <mergeCell ref="D2:R2"/>
    <mergeCell ref="A4:C4"/>
    <mergeCell ref="D4:R4"/>
    <mergeCell ref="A5:C5"/>
    <mergeCell ref="D5:R5"/>
    <mergeCell ref="D10:R10"/>
    <mergeCell ref="D11:R11"/>
    <mergeCell ref="K13:P13"/>
    <mergeCell ref="A6:C6"/>
    <mergeCell ref="D6:R6"/>
    <mergeCell ref="A7:C7"/>
    <mergeCell ref="D7:R7"/>
    <mergeCell ref="A8:C8"/>
    <mergeCell ref="D8:R8"/>
    <mergeCell ref="D9:R9"/>
    <mergeCell ref="A9:C9"/>
    <mergeCell ref="A10:C10"/>
    <mergeCell ref="A11:C11"/>
    <mergeCell ref="A13:B13"/>
    <mergeCell ref="C13:D13"/>
    <mergeCell ref="E13:F13"/>
    <mergeCell ref="G13:J13"/>
    <mergeCell ref="H15:J15"/>
    <mergeCell ref="L15:N15"/>
    <mergeCell ref="P15:Q15"/>
    <mergeCell ref="R15:S15"/>
    <mergeCell ref="G14:H14"/>
    <mergeCell ref="I14:J14"/>
    <mergeCell ref="K14:L14"/>
    <mergeCell ref="M14:N14"/>
    <mergeCell ref="O14:P14"/>
    <mergeCell ref="C15:D15"/>
    <mergeCell ref="E15:F15"/>
    <mergeCell ref="A31:F31"/>
    <mergeCell ref="A32:F32"/>
    <mergeCell ref="A34:F34"/>
    <mergeCell ref="A36:F36"/>
    <mergeCell ref="A37:F37"/>
    <mergeCell ref="A38:F38"/>
    <mergeCell ref="A23:F23"/>
    <mergeCell ref="A24:F24"/>
    <mergeCell ref="A25:F25"/>
    <mergeCell ref="A26:F26"/>
    <mergeCell ref="A27:F27"/>
    <mergeCell ref="A29:F29"/>
    <mergeCell ref="A30:F30"/>
    <mergeCell ref="G36:H36"/>
    <mergeCell ref="I36:J36"/>
    <mergeCell ref="K36:L36"/>
    <mergeCell ref="M36:N36"/>
    <mergeCell ref="O36:P36"/>
    <mergeCell ref="Q36:R36"/>
    <mergeCell ref="S36:T36"/>
    <mergeCell ref="I38:J38"/>
    <mergeCell ref="K38:L38"/>
    <mergeCell ref="M38:N38"/>
    <mergeCell ref="O38:P38"/>
    <mergeCell ref="G37:H37"/>
    <mergeCell ref="I37:J37"/>
    <mergeCell ref="K37:L37"/>
    <mergeCell ref="M37:N37"/>
    <mergeCell ref="O37:P37"/>
    <mergeCell ref="Q37:R37"/>
    <mergeCell ref="G38:H38"/>
    <mergeCell ref="A46:R46"/>
    <mergeCell ref="A47:R47"/>
    <mergeCell ref="A48:R48"/>
    <mergeCell ref="A49:R49"/>
    <mergeCell ref="Q38:R38"/>
    <mergeCell ref="A40:R40"/>
    <mergeCell ref="A41:R41"/>
    <mergeCell ref="A42:R42"/>
    <mergeCell ref="A43:R43"/>
    <mergeCell ref="A44:R44"/>
    <mergeCell ref="A45:R45"/>
    <mergeCell ref="A16:F16"/>
    <mergeCell ref="G16:H16"/>
    <mergeCell ref="I16:J16"/>
    <mergeCell ref="K16:L16"/>
    <mergeCell ref="M16:N16"/>
    <mergeCell ref="O16:P16"/>
    <mergeCell ref="A17:F17"/>
    <mergeCell ref="A18:F18"/>
    <mergeCell ref="A19:R19"/>
    <mergeCell ref="A20:F20"/>
    <mergeCell ref="Q20:R20"/>
    <mergeCell ref="A21:F21"/>
    <mergeCell ref="A22:R22"/>
    <mergeCell ref="Q23:R23"/>
    <mergeCell ref="Q24:R24"/>
    <mergeCell ref="Q25:R25"/>
    <mergeCell ref="Q26:R26"/>
    <mergeCell ref="Q27:R27"/>
    <mergeCell ref="A28:R28"/>
    <mergeCell ref="T23:T27"/>
    <mergeCell ref="T29:T32"/>
    <mergeCell ref="T34:T35"/>
    <mergeCell ref="Q16:R16"/>
    <mergeCell ref="Q17:R17"/>
    <mergeCell ref="S17:T17"/>
    <mergeCell ref="Q18:R18"/>
    <mergeCell ref="T20:T21"/>
    <mergeCell ref="Q21:R21"/>
    <mergeCell ref="Q29:R29"/>
    <mergeCell ref="Q30:R30"/>
    <mergeCell ref="Q31:R31"/>
    <mergeCell ref="Q32:R32"/>
    <mergeCell ref="A33:R33"/>
    <mergeCell ref="Q34:R34"/>
    <mergeCell ref="A35:F35"/>
    <mergeCell ref="Q35:R35"/>
  </mergeCells>
  <conditionalFormatting sqref="M18:N18 M20:N21 M23:N27 M29:N32 M34:N35 M37:N38">
    <cfRule type="expression" dxfId="0" priority="1">
      <formula>EQ($M$36,0)</formula>
    </cfRule>
  </conditionalFormatting>
  <conditionalFormatting sqref="I18:J18 I20:J21 I23:J27 I29:J32 I34:J35 I37:J38">
    <cfRule type="expression" dxfId="0" priority="2">
      <formula>EQ($I$36,0)</formula>
    </cfRule>
  </conditionalFormatting>
  <conditionalFormatting sqref="K18:L18 K20:L21 K23:L27 K29:L32 K34:L35 K37:L38">
    <cfRule type="expression" dxfId="0" priority="3">
      <formula>EQ($K$36,0)</formula>
    </cfRule>
  </conditionalFormatting>
  <conditionalFormatting sqref="O18:P18 O20:P21 O23:P27 O29:P32 O34:P35 O37:P38">
    <cfRule type="expression" dxfId="0" priority="4">
      <formula>EQ($O$36,0)</formula>
    </cfRule>
  </conditionalFormatting>
  <conditionalFormatting sqref="G18:H18 G20:H21 G23:H27 G29:H32 G34:H35 J18 J23 J25:J26 J29:J31 J34:J35 L18 L25:L26 L29:L32 L34:L35 N18 N25:N27 N29:N32 N34:N35">
    <cfRule type="expression" dxfId="0" priority="5">
      <formula>EQ($G$36,0)</formula>
    </cfRule>
  </conditionalFormatting>
  <conditionalFormatting sqref="H18 H20:H21 H23:H27 H29:H32 H34:H35 J18 J20:J21 J23:J27 J29:J32 J34:J35 L18 L20:L21 L23:L27 L29:L32 L34:L35 N18 N20:N21 N23:N27 N29:N32 N34:N35 P18 P20:P21 P23:P27 P29:P32 P34:P35">
    <cfRule type="expression" dxfId="0" priority="6">
      <formula>EQ(G18,0)</formula>
    </cfRule>
  </conditionalFormatting>
  <conditionalFormatting sqref="H18 H20:H21 H23:H27 H29:H32 H34:H35 J18 J20:J21 J23:J27 J29:J32 J34:J35 L18 L20:L21 L23:L27 L29:L32 L34:L35 N18 N20:N21 N23:N27 N29:N32 N34:N35 P18 P20:P21 P23:P27 P29:P32 P34:P35">
    <cfRule type="expression" dxfId="1" priority="7">
      <formula>ISTEXT(H18)</formula>
    </cfRule>
  </conditionalFormatting>
  <conditionalFormatting sqref="A14:P14 G37:I37 H18 H20:H21 H23:H27 H29:H32 H34:H35 J18 J20:J21 J23:J27 J29:J32 J34:J35 K37 L18 L20:L21 L23:L27 L29:L32 L34:L35 M37 N18 N20:N21 N23:N27 N29:N32 N34:N35 O37 P18 P20:R21 P23:R27 P29:R32 P34:R35 Q37">
    <cfRule type="colorScale" priority="8">
      <colorScale>
        <cfvo type="formula" val="0"/>
        <cfvo type="formula" val="5"/>
        <cfvo type="formula" val="10"/>
        <color rgb="FFF8696B"/>
        <color rgb="FFFFEB84"/>
        <color rgb="FF63BE7B"/>
      </colorScale>
    </cfRule>
  </conditionalFormatting>
  <conditionalFormatting sqref="A41:P41">
    <cfRule type="containsBlanks" dxfId="1" priority="9">
      <formula>LEN(TRIM(A41))=0</formula>
    </cfRule>
  </conditionalFormatting>
  <conditionalFormatting sqref="A43:P43">
    <cfRule type="containsBlanks" dxfId="1" priority="10">
      <formula>LEN(TRIM(A43))=0</formula>
    </cfRule>
  </conditionalFormatting>
  <conditionalFormatting sqref="A45:P45">
    <cfRule type="containsBlanks" dxfId="1" priority="11">
      <formula>LEN(TRIM(A45))=0</formula>
    </cfRule>
  </conditionalFormatting>
  <conditionalFormatting sqref="A47:P47">
    <cfRule type="containsBlanks" dxfId="1" priority="12">
      <formula>LEN(TRIM(A47))=0</formula>
    </cfRule>
  </conditionalFormatting>
  <conditionalFormatting sqref="A49:P49">
    <cfRule type="containsBlanks" dxfId="1" priority="13">
      <formula>LEN(TRIM(A49))=0</formula>
    </cfRule>
  </conditionalFormatting>
  <conditionalFormatting sqref="D4:P4">
    <cfRule type="containsBlanks" dxfId="1" priority="14">
      <formula>LEN(TRIM(D4))=0</formula>
    </cfRule>
  </conditionalFormatting>
  <conditionalFormatting sqref="D4:P4">
    <cfRule type="containsText" dxfId="1" priority="15" operator="containsText" text="Nombre estudiante">
      <formula>NOT(ISERROR(SEARCH(("Nombre estudiante"),(D4))))</formula>
    </cfRule>
  </conditionalFormatting>
  <conditionalFormatting sqref="D5:P5">
    <cfRule type="containsBlanks" dxfId="1" priority="16">
      <formula>LEN(TRIM(D5))=0</formula>
    </cfRule>
  </conditionalFormatting>
  <conditionalFormatting sqref="D5:P5">
    <cfRule type="containsText" dxfId="1" priority="17" operator="containsText" text="Título del trabajo">
      <formula>NOT(ISERROR(SEARCH(("Título del trabajo"),(D5))))</formula>
    </cfRule>
  </conditionalFormatting>
  <conditionalFormatting sqref="D6:P6">
    <cfRule type="containsBlanks" dxfId="1" priority="18">
      <formula>LEN(TRIM(D6))=0</formula>
    </cfRule>
  </conditionalFormatting>
  <conditionalFormatting sqref="D6:P6">
    <cfRule type="containsText" dxfId="1" priority="19" operator="containsText" text="Nombre del Programa">
      <formula>NOT(ISERROR(SEARCH(("Nombre del Programa"),(D6))))</formula>
    </cfRule>
  </conditionalFormatting>
  <conditionalFormatting sqref="D7:P7">
    <cfRule type="containsBlanks" dxfId="1" priority="20">
      <formula>LEN(TRIM(D7))=0</formula>
    </cfRule>
  </conditionalFormatting>
  <conditionalFormatting sqref="D8:P8">
    <cfRule type="containsBlanks" dxfId="1" priority="21">
      <formula>LEN(TRIM(D8))=0</formula>
    </cfRule>
  </conditionalFormatting>
  <conditionalFormatting sqref="D8:P8">
    <cfRule type="containsText" dxfId="1" priority="22" operator="containsText" text="Tutor">
      <formula>NOT(ISERROR(SEARCH(("Tutor"),(D8))))</formula>
    </cfRule>
  </conditionalFormatting>
  <conditionalFormatting sqref="D9:D11 E9:P10">
    <cfRule type="containsBlanks" dxfId="1" priority="23">
      <formula>LEN(TRIM(D9))=0</formula>
    </cfRule>
  </conditionalFormatting>
  <conditionalFormatting sqref="D9:D11 E9:P10">
    <cfRule type="containsText" dxfId="1" priority="24" operator="containsText" text="Avaluador">
      <formula>NOT(ISERROR(SEARCH(("Avaluador"),(D9))))</formula>
    </cfRule>
  </conditionalFormatting>
  <conditionalFormatting sqref="D7:P7">
    <cfRule type="containsText" dxfId="1" priority="25" operator="containsText" text="Semester">
      <formula>NOT(ISERROR(SEARCH(("Semester"),(D7))))</formula>
    </cfRule>
  </conditionalFormatting>
  <conditionalFormatting sqref="Q18:R18 Q20:Q21 Q23:Q27 Q29:Q32 Q34:Q35 R25:R26">
    <cfRule type="containsText" dxfId="2" priority="26" operator="containsText" text="D">
      <formula>NOT(ISERROR(SEARCH(("D"),(Q18))))</formula>
    </cfRule>
  </conditionalFormatting>
  <conditionalFormatting sqref="Q18:R18 Q20:Q21 Q23:Q27 Q29:Q32 Q34:Q35 R25:R26">
    <cfRule type="containsText" dxfId="3" priority="27" operator="containsText" text="C-">
      <formula>NOT(ISERROR(SEARCH(("C-"),(Q18))))</formula>
    </cfRule>
  </conditionalFormatting>
  <conditionalFormatting sqref="Q18:R18 Q20:Q21 Q23:Q27 Q29:Q32 Q34:Q35 R25:R26">
    <cfRule type="containsText" dxfId="4" priority="28" operator="containsText" text="C+">
      <formula>NOT(ISERROR(SEARCH(("C+"),(Q18))))</formula>
    </cfRule>
  </conditionalFormatting>
  <conditionalFormatting sqref="Q18:R18 Q20:Q21 Q23:Q27 Q29:Q32 Q34:Q35 R25:R26">
    <cfRule type="containsText" dxfId="5" priority="29" operator="containsText" text="B">
      <formula>NOT(ISERROR(SEARCH(("B"),(Q18))))</formula>
    </cfRule>
  </conditionalFormatting>
  <conditionalFormatting sqref="Q18:R18 Q20:Q21 Q23:Q27 Q29:Q32 Q34:Q35 R25:R26">
    <cfRule type="containsText" dxfId="6" priority="30" operator="containsText" text="A">
      <formula>NOT(ISERROR(SEARCH(("A"),(Q18))))</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2" max="25" width="8.71"/>
  </cols>
  <sheetData>
    <row r="1" ht="24.75" customHeight="1">
      <c r="A1" s="1"/>
      <c r="B1" s="2"/>
      <c r="C1" s="2"/>
      <c r="D1" s="3" t="str">
        <f>RubricTutor!D1</f>
        <v>Bachelor's degree in Techniques for Software Application Development</v>
      </c>
      <c r="E1" s="4"/>
      <c r="F1" s="4"/>
      <c r="G1" s="4"/>
      <c r="H1" s="4"/>
      <c r="I1" s="4"/>
      <c r="J1" s="4"/>
      <c r="K1" s="4"/>
      <c r="L1" s="5"/>
      <c r="M1" s="5"/>
      <c r="N1" s="5"/>
      <c r="O1" s="5"/>
      <c r="P1" s="5"/>
      <c r="Q1" s="5"/>
      <c r="R1" s="5"/>
      <c r="S1" s="5"/>
      <c r="T1" s="5"/>
      <c r="U1" s="5"/>
      <c r="V1" s="5"/>
      <c r="W1" s="5"/>
      <c r="X1" s="5"/>
      <c r="Y1" s="5"/>
    </row>
    <row r="2" ht="24.75" customHeight="1">
      <c r="A2" s="6"/>
      <c r="D2" s="3" t="str">
        <f>RubricTutor!D2</f>
        <v>Trabajo final - Semestre 2025-1</v>
      </c>
      <c r="E2" s="4"/>
      <c r="F2" s="4"/>
      <c r="G2" s="4"/>
      <c r="H2" s="4"/>
      <c r="I2" s="4"/>
      <c r="J2" s="4"/>
      <c r="K2" s="4"/>
      <c r="L2" s="5"/>
      <c r="M2" s="5"/>
      <c r="N2" s="5"/>
      <c r="O2" s="5"/>
      <c r="P2" s="5"/>
      <c r="Q2" s="5"/>
      <c r="R2" s="5"/>
      <c r="S2" s="5"/>
      <c r="T2" s="5"/>
      <c r="U2" s="5"/>
      <c r="V2" s="5"/>
      <c r="W2" s="5"/>
      <c r="X2" s="5"/>
      <c r="Y2" s="5"/>
    </row>
    <row r="3" ht="24.75" customHeight="1">
      <c r="A3" s="7"/>
      <c r="B3" s="7"/>
      <c r="C3" s="7"/>
      <c r="D3" s="7"/>
      <c r="E3" s="7"/>
      <c r="F3" s="7"/>
      <c r="G3" s="7"/>
      <c r="H3" s="8"/>
      <c r="I3" s="8"/>
      <c r="J3" s="8"/>
      <c r="K3" s="8"/>
      <c r="L3" s="8"/>
      <c r="M3" s="8"/>
      <c r="N3" s="5"/>
      <c r="O3" s="5"/>
      <c r="P3" s="5"/>
      <c r="Q3" s="5"/>
      <c r="R3" s="5"/>
      <c r="S3" s="5"/>
      <c r="T3" s="5"/>
      <c r="U3" s="5"/>
      <c r="V3" s="5"/>
      <c r="W3" s="5"/>
      <c r="X3" s="5"/>
      <c r="Y3" s="5"/>
    </row>
    <row r="4" ht="26.25" customHeight="1">
      <c r="A4" s="9" t="str">
        <f>Language!C5</f>
        <v>Nombre del/de la estudiante:</v>
      </c>
      <c r="B4" s="10"/>
      <c r="C4" s="10"/>
      <c r="D4" s="115" t="str">
        <f>RubricTutor!D4</f>
        <v/>
      </c>
      <c r="E4" s="10"/>
      <c r="F4" s="10"/>
      <c r="G4" s="10"/>
      <c r="H4" s="10"/>
      <c r="I4" s="10"/>
      <c r="J4" s="10"/>
      <c r="K4" s="12"/>
      <c r="L4" s="16"/>
      <c r="M4" s="16"/>
      <c r="N4" s="13"/>
      <c r="O4" s="13"/>
      <c r="P4" s="14"/>
      <c r="Q4" s="14"/>
      <c r="R4" s="5"/>
      <c r="S4" s="5"/>
      <c r="T4" s="5"/>
      <c r="U4" s="5"/>
      <c r="V4" s="5"/>
      <c r="W4" s="5"/>
      <c r="X4" s="5"/>
      <c r="Y4" s="5"/>
    </row>
    <row r="5" ht="26.25" customHeight="1">
      <c r="A5" s="15" t="str">
        <f>Language!C6</f>
        <v>Título del trabajo:</v>
      </c>
      <c r="D5" s="16" t="str">
        <f>RubricTutor!D5</f>
        <v/>
      </c>
      <c r="K5" s="17"/>
      <c r="L5" s="16"/>
      <c r="M5" s="16"/>
      <c r="N5" s="13"/>
      <c r="O5" s="13"/>
      <c r="P5" s="14"/>
      <c r="Q5" s="14"/>
      <c r="R5" s="5"/>
      <c r="S5" s="5"/>
      <c r="T5" s="5"/>
      <c r="U5" s="5"/>
      <c r="V5" s="5"/>
      <c r="W5" s="5"/>
      <c r="X5" s="5"/>
      <c r="Y5" s="5"/>
    </row>
    <row r="6" ht="26.25" customHeight="1">
      <c r="A6" s="15" t="str">
        <f>Language!C7</f>
        <v>Programa:		</v>
      </c>
      <c r="D6" s="16" t="str">
        <f>RubricTutor!D6</f>
        <v>Bachelor's degree in Techniques for Software Application Development</v>
      </c>
      <c r="K6" s="17"/>
      <c r="L6" s="16"/>
      <c r="M6" s="16"/>
      <c r="N6" s="13"/>
      <c r="O6" s="13"/>
      <c r="P6" s="14"/>
      <c r="Q6" s="14"/>
      <c r="R6" s="5"/>
      <c r="S6" s="5"/>
      <c r="T6" s="5"/>
      <c r="U6" s="5"/>
      <c r="V6" s="5"/>
      <c r="W6" s="5"/>
      <c r="X6" s="5"/>
      <c r="Y6" s="5"/>
    </row>
    <row r="7" ht="26.25" customHeight="1">
      <c r="A7" s="15" t="str">
        <f>Language!C9</f>
        <v>Tutor/a:</v>
      </c>
      <c r="D7" s="16" t="str">
        <f>RubricTutor!D8</f>
        <v/>
      </c>
      <c r="K7" s="17"/>
      <c r="L7" s="16"/>
      <c r="M7" s="16"/>
      <c r="N7" s="13"/>
      <c r="O7" s="13"/>
      <c r="P7" s="14"/>
      <c r="Q7" s="14"/>
      <c r="R7" s="5"/>
      <c r="S7" s="5"/>
      <c r="T7" s="5"/>
      <c r="U7" s="5"/>
      <c r="V7" s="5"/>
      <c r="W7" s="5"/>
      <c r="X7" s="5"/>
      <c r="Y7" s="5"/>
    </row>
    <row r="8" ht="26.25" customHeight="1">
      <c r="A8" s="15" t="str">
        <f>Language!C8</f>
        <v>Semestre:</v>
      </c>
      <c r="D8" s="18" t="str">
        <f>RubricTutor!D7</f>
        <v>2025-1</v>
      </c>
      <c r="K8" s="17"/>
      <c r="L8" s="16"/>
      <c r="M8" s="16"/>
      <c r="N8" s="13"/>
      <c r="O8" s="13"/>
      <c r="P8" s="14"/>
      <c r="Q8" s="14"/>
      <c r="R8" s="5"/>
      <c r="S8" s="5"/>
      <c r="T8" s="5"/>
      <c r="U8" s="5"/>
      <c r="V8" s="5"/>
      <c r="W8" s="5"/>
      <c r="X8" s="5"/>
      <c r="Y8" s="5"/>
    </row>
    <row r="9" ht="26.25" customHeight="1">
      <c r="A9" s="20" t="str">
        <f>Language!C10</f>
        <v>Evaluador/a 1:</v>
      </c>
      <c r="B9" s="21"/>
      <c r="C9" s="21"/>
      <c r="D9" s="116" t="str">
        <f>RubricTutor!D9</f>
        <v/>
      </c>
      <c r="E9" s="21"/>
      <c r="F9" s="21"/>
      <c r="G9" s="21"/>
      <c r="H9" s="21"/>
      <c r="I9" s="21"/>
      <c r="J9" s="21"/>
      <c r="K9" s="23"/>
      <c r="L9" s="16"/>
      <c r="M9" s="16"/>
      <c r="N9" s="13"/>
      <c r="O9" s="13"/>
      <c r="P9" s="14"/>
      <c r="Q9" s="14"/>
      <c r="R9" s="5"/>
      <c r="S9" s="5"/>
      <c r="T9" s="5"/>
      <c r="U9" s="5"/>
      <c r="V9" s="5"/>
      <c r="W9" s="5"/>
      <c r="X9" s="5"/>
      <c r="Y9" s="5"/>
    </row>
    <row r="10" ht="19.5" customHeight="1">
      <c r="H10" s="24"/>
      <c r="P10" s="5"/>
      <c r="Q10" s="5"/>
      <c r="R10" s="5"/>
      <c r="S10" s="5"/>
      <c r="T10" s="5"/>
      <c r="U10" s="5"/>
      <c r="V10" s="5"/>
      <c r="W10" s="5"/>
      <c r="X10" s="5"/>
      <c r="Y10" s="5"/>
    </row>
    <row r="11" ht="19.5" customHeight="1">
      <c r="A11" s="25" t="s">
        <v>2</v>
      </c>
      <c r="B11" s="26"/>
      <c r="C11" s="25" t="s">
        <v>3</v>
      </c>
      <c r="D11" s="26"/>
      <c r="E11" s="25" t="s">
        <v>4</v>
      </c>
      <c r="F11" s="26"/>
      <c r="G11" s="25" t="s">
        <v>5</v>
      </c>
      <c r="H11" s="26"/>
      <c r="I11" s="25" t="s">
        <v>6</v>
      </c>
      <c r="J11" s="27"/>
      <c r="K11" s="26"/>
      <c r="L11" s="28"/>
      <c r="M11" s="28"/>
      <c r="N11" s="28"/>
      <c r="O11" s="28"/>
      <c r="P11" s="28"/>
      <c r="Q11" s="28"/>
      <c r="R11" s="28"/>
      <c r="S11" s="28"/>
      <c r="T11" s="28"/>
      <c r="U11" s="28"/>
      <c r="V11" s="28"/>
      <c r="W11" s="28"/>
      <c r="X11" s="28"/>
      <c r="Y11" s="28"/>
    </row>
    <row r="12" ht="19.5" customHeight="1">
      <c r="A12" s="29">
        <v>10.0</v>
      </c>
      <c r="B12" s="29">
        <v>9.0</v>
      </c>
      <c r="C12" s="29">
        <v>8.0</v>
      </c>
      <c r="D12" s="29">
        <v>7.0</v>
      </c>
      <c r="E12" s="29">
        <v>6.0</v>
      </c>
      <c r="F12" s="29">
        <v>5.0</v>
      </c>
      <c r="G12" s="29">
        <v>4.0</v>
      </c>
      <c r="H12" s="29">
        <v>3.0</v>
      </c>
      <c r="I12" s="29">
        <v>2.0</v>
      </c>
      <c r="J12" s="29">
        <v>1.0</v>
      </c>
      <c r="K12" s="29">
        <v>0.0</v>
      </c>
      <c r="P12" s="5"/>
      <c r="Q12" s="5"/>
      <c r="R12" s="5"/>
      <c r="S12" s="5"/>
      <c r="T12" s="5"/>
      <c r="U12" s="5"/>
      <c r="V12" s="5"/>
      <c r="W12" s="5"/>
      <c r="X12" s="5"/>
      <c r="Y12" s="5"/>
    </row>
    <row r="13" ht="24.75" customHeight="1">
      <c r="A13" s="5"/>
      <c r="B13" s="5"/>
      <c r="C13" s="5"/>
      <c r="E13" s="5"/>
      <c r="G13" s="5"/>
      <c r="I13" s="5"/>
      <c r="K13" s="5"/>
      <c r="M13" s="28"/>
      <c r="O13" s="31"/>
    </row>
    <row r="14">
      <c r="A14" s="32" t="str">
        <f>Language!C60</f>
        <v>Evaluación del Evaluador/a 1</v>
      </c>
      <c r="B14" s="33"/>
      <c r="C14" s="33"/>
      <c r="D14" s="33"/>
      <c r="E14" s="33"/>
      <c r="F14" s="117"/>
      <c r="G14" s="118" t="str">
        <f>Language!C63</f>
        <v>Entrega final y defensa</v>
      </c>
      <c r="K14" s="31"/>
    </row>
    <row r="15">
      <c r="A15" s="38" t="str">
        <f>Language!C31</f>
        <v>Aspectos metodológicos</v>
      </c>
      <c r="B15" s="27"/>
      <c r="C15" s="27"/>
      <c r="D15" s="27"/>
      <c r="E15" s="27"/>
      <c r="F15" s="27"/>
      <c r="G15" s="119"/>
      <c r="H15" s="120"/>
      <c r="I15" s="120"/>
      <c r="J15" s="120"/>
      <c r="K15" s="96"/>
      <c r="M15" s="56"/>
      <c r="N15" s="56"/>
      <c r="O15" s="56"/>
      <c r="P15" s="56"/>
      <c r="Q15" s="56"/>
      <c r="R15" s="5"/>
      <c r="S15" s="5"/>
      <c r="T15" s="5"/>
      <c r="U15" s="5"/>
    </row>
    <row r="16">
      <c r="A16" s="121" t="str">
        <f>Language!C32</f>
        <v>Definición de unos objetivos claros, concretos, realistas y adecuados</v>
      </c>
      <c r="F16" s="17"/>
      <c r="G16" s="122" t="s">
        <v>9</v>
      </c>
      <c r="H16" s="123"/>
      <c r="I16" s="56"/>
      <c r="K16" s="31"/>
      <c r="L16" s="123"/>
      <c r="M16" s="56"/>
      <c r="N16" s="56"/>
      <c r="O16" s="56"/>
      <c r="P16" s="56"/>
      <c r="Q16" s="56"/>
      <c r="R16" s="57"/>
      <c r="S16" s="57"/>
      <c r="T16" s="57"/>
      <c r="U16" s="57"/>
    </row>
    <row r="17">
      <c r="A17" s="124" t="str">
        <f>Language!C33</f>
        <v>Definición de la metodología, planificación temporal y de recursos</v>
      </c>
      <c r="B17" s="91"/>
      <c r="C17" s="91"/>
      <c r="D17" s="91"/>
      <c r="E17" s="91"/>
      <c r="F17" s="125"/>
      <c r="G17" s="122" t="s">
        <v>9</v>
      </c>
      <c r="I17" s="56"/>
      <c r="K17" s="126"/>
      <c r="M17" s="56"/>
      <c r="N17" s="56"/>
      <c r="O17" s="56"/>
      <c r="P17" s="56"/>
      <c r="Q17" s="56"/>
      <c r="R17" s="61"/>
      <c r="S17" s="61"/>
      <c r="T17" s="61"/>
      <c r="U17" s="61"/>
    </row>
    <row r="18">
      <c r="A18" s="38" t="str">
        <f>Language!C34</f>
        <v>Especificación y diseño</v>
      </c>
      <c r="B18" s="27"/>
      <c r="C18" s="27"/>
      <c r="D18" s="27"/>
      <c r="E18" s="27"/>
      <c r="F18" s="27"/>
      <c r="G18" s="119"/>
      <c r="H18" s="96"/>
      <c r="I18" s="56"/>
      <c r="J18" s="96"/>
      <c r="K18" s="120"/>
      <c r="M18" s="56"/>
      <c r="N18" s="56"/>
      <c r="O18" s="56"/>
      <c r="P18" s="56"/>
      <c r="Q18" s="56"/>
      <c r="R18" s="5"/>
      <c r="S18" s="5"/>
      <c r="T18" s="5"/>
      <c r="U18" s="5"/>
    </row>
    <row r="19">
      <c r="A19" s="127" t="str">
        <f>Language!C35</f>
        <v>Estudio previo e identificación de los aspectos relevantes del problema y de su solución (e.g. estado del arte, estudio de mercado)</v>
      </c>
      <c r="B19" s="45"/>
      <c r="C19" s="45"/>
      <c r="D19" s="45"/>
      <c r="E19" s="45"/>
      <c r="F19" s="128"/>
      <c r="G19" s="122" t="s">
        <v>9</v>
      </c>
      <c r="H19" s="120"/>
      <c r="I19" s="56"/>
      <c r="J19" s="120"/>
      <c r="K19" s="96"/>
      <c r="M19" s="56"/>
      <c r="N19" s="56"/>
      <c r="O19" s="56"/>
      <c r="P19" s="56"/>
      <c r="Q19" s="56"/>
      <c r="R19" s="5"/>
      <c r="S19" s="5"/>
      <c r="T19" s="5"/>
      <c r="U19" s="5"/>
    </row>
    <row r="20">
      <c r="A20" s="129" t="str">
        <f>Language!C36</f>
        <v>Análisis de requerimientos</v>
      </c>
      <c r="B20" s="81"/>
      <c r="C20" s="81"/>
      <c r="D20" s="81"/>
      <c r="E20" s="81"/>
      <c r="F20" s="130"/>
      <c r="G20" s="122" t="s">
        <v>9</v>
      </c>
      <c r="H20" s="120"/>
      <c r="I20" s="56"/>
      <c r="J20" s="120"/>
      <c r="K20" s="96"/>
      <c r="M20" s="56"/>
      <c r="N20" s="56"/>
      <c r="O20" s="56"/>
      <c r="P20" s="56"/>
      <c r="Q20" s="56"/>
      <c r="R20" s="5"/>
      <c r="S20" s="5"/>
      <c r="T20" s="5"/>
      <c r="U20" s="5"/>
    </row>
    <row r="21" ht="15.75" customHeight="1">
      <c r="A21" s="131" t="str">
        <f>Language!C37</f>
        <v>Diseño adecuado de la propuesta</v>
      </c>
      <c r="F21" s="17"/>
      <c r="G21" s="122" t="s">
        <v>9</v>
      </c>
      <c r="H21" s="120"/>
      <c r="I21" s="56"/>
      <c r="J21" s="120"/>
      <c r="K21" s="96"/>
      <c r="M21" s="56"/>
      <c r="N21" s="56"/>
      <c r="O21" s="56"/>
      <c r="P21" s="56"/>
      <c r="Q21" s="56"/>
      <c r="R21" s="5"/>
      <c r="S21" s="5"/>
      <c r="T21" s="5"/>
      <c r="U21" s="5"/>
    </row>
    <row r="22" ht="15.75" customHeight="1">
      <c r="A22" s="124" t="str">
        <f>Language!C38</f>
        <v>Elección de herramientas, tecnologías y fuentes de información adecuadas para el desarrollo del trabajo</v>
      </c>
      <c r="B22" s="91"/>
      <c r="C22" s="91"/>
      <c r="D22" s="91"/>
      <c r="E22" s="91"/>
      <c r="F22" s="125"/>
      <c r="G22" s="122" t="s">
        <v>9</v>
      </c>
      <c r="H22" s="120"/>
      <c r="I22" s="56"/>
      <c r="J22" s="120"/>
      <c r="K22" s="96"/>
      <c r="M22" s="56"/>
      <c r="N22" s="56"/>
      <c r="O22" s="56"/>
      <c r="P22" s="56"/>
      <c r="Q22" s="56"/>
      <c r="R22" s="5"/>
      <c r="S22" s="5"/>
      <c r="T22" s="5"/>
      <c r="U22" s="5"/>
    </row>
    <row r="23" ht="15.75" customHeight="1">
      <c r="A23" s="132" t="str">
        <f>Language!C39</f>
        <v>Grado de análisis y tratamiento del impacto ético-social, de sostenibilidad y de diversidad del trabajo</v>
      </c>
      <c r="B23" s="91"/>
      <c r="C23" s="91"/>
      <c r="D23" s="91"/>
      <c r="E23" s="91"/>
      <c r="F23" s="91"/>
      <c r="G23" s="122" t="s">
        <v>9</v>
      </c>
      <c r="H23" s="120"/>
      <c r="I23" s="56"/>
      <c r="J23" s="120"/>
      <c r="K23" s="96"/>
      <c r="M23" s="56"/>
      <c r="N23" s="56"/>
      <c r="O23" s="56"/>
      <c r="P23" s="56"/>
      <c r="Q23" s="56"/>
      <c r="R23" s="5"/>
      <c r="S23" s="5"/>
      <c r="T23" s="5"/>
      <c r="U23" s="5"/>
    </row>
    <row r="24" ht="15.75" customHeight="1">
      <c r="A24" s="38" t="str">
        <f>Language!C40</f>
        <v>Ejecución e implementación del proyecto</v>
      </c>
      <c r="B24" s="27"/>
      <c r="C24" s="27"/>
      <c r="D24" s="27"/>
      <c r="E24" s="27"/>
      <c r="F24" s="27"/>
      <c r="G24" s="119"/>
      <c r="H24" s="96"/>
      <c r="I24" s="56"/>
      <c r="J24" s="96"/>
      <c r="K24" s="120"/>
      <c r="M24" s="56"/>
      <c r="N24" s="56"/>
      <c r="O24" s="56"/>
      <c r="P24" s="56"/>
      <c r="Q24" s="56"/>
      <c r="R24" s="5"/>
      <c r="S24" s="5"/>
      <c r="T24" s="5"/>
      <c r="U24" s="5"/>
    </row>
    <row r="25" ht="15.75" customHeight="1">
      <c r="A25" s="127" t="str">
        <f>Language!C42</f>
        <v>Calidad de la contribución técnica y/o científica del proyecto. Calidad de la solución/producto en desarrollo/obtenido</v>
      </c>
      <c r="B25" s="45"/>
      <c r="C25" s="45"/>
      <c r="D25" s="45"/>
      <c r="E25" s="45"/>
      <c r="F25" s="128"/>
      <c r="G25" s="122" t="s">
        <v>9</v>
      </c>
      <c r="H25" s="120"/>
      <c r="I25" s="56"/>
      <c r="J25" s="120"/>
      <c r="K25" s="96"/>
      <c r="M25" s="56"/>
      <c r="N25" s="56"/>
      <c r="O25" s="56"/>
      <c r="P25" s="56"/>
      <c r="Q25" s="56"/>
      <c r="R25" s="5"/>
      <c r="S25" s="5"/>
      <c r="T25" s="5"/>
      <c r="U25" s="5"/>
    </row>
    <row r="26" ht="15.75" customHeight="1">
      <c r="A26" s="129" t="str">
        <f>Language!C43</f>
        <v>Grado de innovación de la solución presentada</v>
      </c>
      <c r="B26" s="81"/>
      <c r="C26" s="81"/>
      <c r="D26" s="81"/>
      <c r="E26" s="81"/>
      <c r="F26" s="130"/>
      <c r="G26" s="122" t="s">
        <v>9</v>
      </c>
      <c r="H26" s="120"/>
      <c r="I26" s="56"/>
      <c r="J26" s="120"/>
      <c r="K26" s="96"/>
      <c r="M26" s="56"/>
      <c r="N26" s="56"/>
      <c r="O26" s="56"/>
      <c r="P26" s="56"/>
      <c r="Q26" s="56"/>
      <c r="R26" s="5"/>
      <c r="S26" s="5"/>
      <c r="T26" s="5"/>
      <c r="U26" s="5"/>
    </row>
    <row r="27" ht="15.75" customHeight="1">
      <c r="A27" s="124" t="str">
        <f>Language!C44</f>
        <v>Conclusiones y discusión de los resultados</v>
      </c>
      <c r="B27" s="91"/>
      <c r="C27" s="91"/>
      <c r="D27" s="91"/>
      <c r="E27" s="91"/>
      <c r="F27" s="125"/>
      <c r="G27" s="122" t="s">
        <v>9</v>
      </c>
      <c r="H27" s="120"/>
      <c r="I27" s="56"/>
      <c r="J27" s="120"/>
      <c r="K27" s="96"/>
      <c r="M27" s="56"/>
      <c r="N27" s="56"/>
      <c r="O27" s="56"/>
      <c r="P27" s="56"/>
      <c r="Q27" s="56"/>
      <c r="R27" s="5"/>
      <c r="S27" s="5"/>
      <c r="T27" s="5"/>
      <c r="U27" s="5"/>
    </row>
    <row r="28" ht="15.75" customHeight="1">
      <c r="A28" s="38" t="str">
        <f>Language!C45</f>
        <v>Aspectos formales de la memoria</v>
      </c>
      <c r="B28" s="27"/>
      <c r="C28" s="27"/>
      <c r="D28" s="27"/>
      <c r="E28" s="27"/>
      <c r="F28" s="27"/>
      <c r="G28" s="119"/>
      <c r="H28" s="96"/>
      <c r="I28" s="56"/>
      <c r="J28" s="96"/>
      <c r="K28" s="120"/>
      <c r="M28" s="56"/>
      <c r="N28" s="56"/>
      <c r="O28" s="56"/>
      <c r="P28" s="56"/>
      <c r="Q28" s="56"/>
      <c r="R28" s="5"/>
      <c r="S28" s="5"/>
      <c r="T28" s="5"/>
      <c r="U28" s="5"/>
    </row>
    <row r="29" ht="15.75" customHeight="1">
      <c r="A29" s="127" t="str">
        <f>Language!C46</f>
        <v>Redacción adecuada, utilización flexible de un lenguaje inclusivo, y organización clara y correcta del contenido</v>
      </c>
      <c r="B29" s="45"/>
      <c r="C29" s="45"/>
      <c r="D29" s="45"/>
      <c r="E29" s="45"/>
      <c r="F29" s="128"/>
      <c r="G29" s="122" t="s">
        <v>9</v>
      </c>
      <c r="H29" s="120"/>
      <c r="I29" s="56"/>
      <c r="J29" s="120"/>
      <c r="K29" s="96"/>
      <c r="M29" s="56"/>
      <c r="N29" s="56"/>
      <c r="O29" s="56"/>
      <c r="P29" s="56"/>
      <c r="Q29" s="56"/>
      <c r="R29" s="5"/>
      <c r="S29" s="5"/>
      <c r="T29" s="5"/>
      <c r="U29" s="5"/>
    </row>
    <row r="30" ht="15.75" customHeight="1">
      <c r="A30" s="124" t="str">
        <f>Language!C47</f>
        <v>Fuentes de información y referencias bibliográficas</v>
      </c>
      <c r="B30" s="91"/>
      <c r="C30" s="91"/>
      <c r="D30" s="91"/>
      <c r="E30" s="91"/>
      <c r="F30" s="125"/>
      <c r="G30" s="122" t="s">
        <v>9</v>
      </c>
      <c r="H30" s="120"/>
      <c r="I30" s="56"/>
      <c r="J30" s="120"/>
      <c r="K30" s="96"/>
      <c r="M30" s="56"/>
      <c r="N30" s="56"/>
      <c r="O30" s="56"/>
      <c r="P30" s="56"/>
      <c r="Q30" s="56"/>
      <c r="R30" s="5"/>
      <c r="S30" s="5"/>
      <c r="T30" s="5"/>
      <c r="U30" s="5"/>
    </row>
    <row r="31" ht="15.75" customHeight="1">
      <c r="A31" s="38" t="str">
        <f>Language!C48</f>
        <v>Defensa del proyecto</v>
      </c>
      <c r="B31" s="27"/>
      <c r="C31" s="27"/>
      <c r="D31" s="27"/>
      <c r="E31" s="27"/>
      <c r="F31" s="27"/>
      <c r="G31" s="119"/>
      <c r="H31" s="96"/>
      <c r="I31" s="56"/>
      <c r="J31" s="96"/>
      <c r="K31" s="120"/>
      <c r="M31" s="56"/>
      <c r="N31" s="56"/>
      <c r="O31" s="56"/>
      <c r="P31" s="56"/>
      <c r="Q31" s="56"/>
      <c r="R31" s="5"/>
      <c r="S31" s="5"/>
      <c r="T31" s="5"/>
      <c r="U31" s="5"/>
    </row>
    <row r="32" ht="15.75" customHeight="1">
      <c r="A32" s="127" t="str">
        <f>Language!C49</f>
        <v>Calidad de la presentación oral y de los recursos visuales</v>
      </c>
      <c r="B32" s="45"/>
      <c r="C32" s="45"/>
      <c r="D32" s="45"/>
      <c r="E32" s="45"/>
      <c r="F32" s="128"/>
      <c r="G32" s="122" t="s">
        <v>9</v>
      </c>
      <c r="H32" s="120"/>
      <c r="I32" s="56"/>
      <c r="J32" s="120"/>
      <c r="M32" s="56"/>
      <c r="N32" s="56"/>
      <c r="O32" s="56"/>
      <c r="P32" s="56"/>
      <c r="Q32" s="56"/>
      <c r="R32" s="5"/>
      <c r="S32" s="5"/>
      <c r="T32" s="5"/>
      <c r="U32" s="5"/>
    </row>
    <row r="33" ht="15.75" customHeight="1">
      <c r="A33" s="131" t="str">
        <f>Language!C50</f>
        <v>Respuesta clara y fundamentada a las preguntas de la comisión</v>
      </c>
      <c r="F33" s="17"/>
      <c r="G33" s="122" t="s">
        <v>9</v>
      </c>
      <c r="I33" s="56"/>
      <c r="K33" s="5"/>
      <c r="M33" s="56"/>
      <c r="N33" s="56"/>
      <c r="O33" s="56"/>
      <c r="P33" s="56"/>
      <c r="Q33" s="56"/>
      <c r="R33" s="5"/>
      <c r="S33" s="5"/>
      <c r="T33" s="5"/>
      <c r="U33" s="5"/>
    </row>
    <row r="34" ht="15.75" customHeight="1">
      <c r="A34" s="105" t="str">
        <f>Language!C27</f>
        <v>Final</v>
      </c>
      <c r="B34" s="27"/>
      <c r="C34" s="27"/>
      <c r="D34" s="27"/>
      <c r="E34" s="27"/>
      <c r="F34" s="26"/>
      <c r="G34" s="133">
        <f>ROUND(SUMPRODUCT(G16:G33,DefenseSummary!B9:B26)/SUM(DefenseSummary!B9:B26),1)</f>
        <v>0</v>
      </c>
      <c r="H34" s="5"/>
      <c r="I34" s="134"/>
      <c r="J34" s="5"/>
      <c r="K34" s="5"/>
      <c r="L34" s="5"/>
      <c r="M34" s="56"/>
      <c r="N34" s="56"/>
      <c r="O34" s="56"/>
      <c r="P34" s="56"/>
      <c r="Q34" s="56"/>
      <c r="R34" s="5"/>
      <c r="S34" s="5"/>
      <c r="T34" s="5"/>
      <c r="U34" s="5"/>
    </row>
    <row r="35" ht="15.75" customHeight="1">
      <c r="A35" s="107"/>
      <c r="G35" s="135" t="str">
        <f>IF(G34&gt;=9,"A",IF(G34&gt;=7,"B",IF(G34&gt;=5,"C+",IF(G34&gt;=3,"C-","D"))))</f>
        <v>D</v>
      </c>
      <c r="H35" s="5"/>
      <c r="I35" s="5"/>
      <c r="J35" s="5"/>
      <c r="K35" s="5"/>
      <c r="L35" s="5"/>
      <c r="M35" s="5"/>
      <c r="N35" s="5"/>
      <c r="O35" s="5"/>
      <c r="P35" s="5"/>
      <c r="Q35" s="5"/>
      <c r="R35" s="5"/>
      <c r="S35" s="5"/>
      <c r="T35" s="5"/>
      <c r="U35" s="5"/>
    </row>
    <row r="36" ht="15.75" customHeight="1">
      <c r="A36" s="110"/>
      <c r="B36" s="110"/>
      <c r="C36" s="110"/>
      <c r="D36" s="110"/>
      <c r="E36" s="110"/>
      <c r="F36" s="110"/>
      <c r="G36" s="110"/>
      <c r="H36" s="110"/>
      <c r="I36" s="110"/>
      <c r="J36" s="110"/>
      <c r="K36" s="110"/>
      <c r="L36" s="111"/>
      <c r="M36" s="111"/>
      <c r="N36" s="5"/>
      <c r="O36" s="5"/>
      <c r="P36" s="112"/>
      <c r="Q36" s="5"/>
      <c r="R36" s="5"/>
      <c r="S36" s="5"/>
      <c r="T36" s="5"/>
      <c r="U36" s="5"/>
      <c r="V36" s="5"/>
      <c r="W36" s="5"/>
      <c r="X36" s="5"/>
      <c r="Y36" s="5"/>
    </row>
    <row r="37" ht="15.75" customHeight="1">
      <c r="A37" s="136" t="str">
        <f>Language!C64</f>
        <v>Marca esta casilla si crees que este trabajo merece ser considerado para matrícula de honor</v>
      </c>
      <c r="B37" s="4"/>
      <c r="C37" s="4"/>
      <c r="D37" s="4"/>
      <c r="E37" s="4"/>
      <c r="F37" s="4"/>
      <c r="G37" s="110" t="b">
        <v>0</v>
      </c>
      <c r="H37" s="110"/>
      <c r="I37" s="110"/>
      <c r="J37" s="110"/>
      <c r="K37" s="110"/>
      <c r="L37" s="111"/>
      <c r="M37" s="111"/>
      <c r="N37" s="5"/>
      <c r="O37" s="5"/>
      <c r="P37" s="112"/>
      <c r="Q37" s="5"/>
      <c r="R37" s="5"/>
      <c r="S37" s="5"/>
      <c r="T37" s="5"/>
      <c r="U37" s="5"/>
      <c r="V37" s="5"/>
      <c r="W37" s="5"/>
      <c r="X37" s="5"/>
      <c r="Y37" s="5"/>
    </row>
    <row r="38" ht="15.75" customHeight="1">
      <c r="A38" s="110"/>
      <c r="B38" s="110"/>
      <c r="C38" s="110"/>
      <c r="D38" s="110"/>
      <c r="E38" s="110"/>
      <c r="F38" s="110"/>
      <c r="G38" s="110"/>
      <c r="H38" s="110"/>
      <c r="I38" s="110"/>
      <c r="J38" s="110"/>
      <c r="K38" s="110"/>
      <c r="L38" s="111"/>
      <c r="M38" s="111"/>
      <c r="N38" s="5"/>
      <c r="O38" s="5"/>
      <c r="P38" s="112"/>
      <c r="Q38" s="5"/>
      <c r="R38" s="5"/>
      <c r="S38" s="5"/>
      <c r="T38" s="5"/>
      <c r="U38" s="5"/>
      <c r="V38" s="5"/>
      <c r="W38" s="5"/>
      <c r="X38" s="5"/>
      <c r="Y38" s="5"/>
    </row>
    <row r="39" ht="15.75" customHeight="1">
      <c r="A39" s="113" t="str">
        <f>Language!C59</f>
        <v>Observaciones y recomendaciones:</v>
      </c>
      <c r="B39" s="33"/>
      <c r="C39" s="33"/>
      <c r="D39" s="33"/>
      <c r="E39" s="33"/>
      <c r="F39" s="33"/>
      <c r="G39" s="33"/>
      <c r="H39" s="33"/>
      <c r="I39" s="33"/>
      <c r="J39" s="33"/>
      <c r="K39" s="34"/>
      <c r="L39" s="5"/>
      <c r="M39" s="5"/>
      <c r="N39" s="5"/>
      <c r="O39" s="5"/>
      <c r="P39" s="5"/>
      <c r="Q39" s="5"/>
      <c r="R39" s="5"/>
      <c r="S39" s="5"/>
      <c r="T39" s="5"/>
      <c r="U39" s="5"/>
      <c r="V39" s="5"/>
      <c r="W39" s="5"/>
      <c r="X39" s="5"/>
      <c r="Y39" s="5"/>
    </row>
    <row r="40" ht="65.25" customHeight="1">
      <c r="A40" s="137"/>
      <c r="B40" s="138"/>
      <c r="C40" s="138"/>
      <c r="D40" s="138"/>
      <c r="E40" s="138"/>
      <c r="F40" s="138"/>
      <c r="G40" s="138"/>
      <c r="H40" s="138"/>
      <c r="I40" s="138"/>
      <c r="J40" s="138"/>
      <c r="K40" s="139"/>
      <c r="L40" s="5"/>
      <c r="M40" s="5"/>
      <c r="N40" s="5"/>
      <c r="O40" s="5"/>
      <c r="P40" s="5"/>
      <c r="Q40" s="5"/>
      <c r="R40" s="5"/>
      <c r="S40" s="5"/>
      <c r="T40" s="5"/>
      <c r="U40" s="5"/>
      <c r="V40" s="5"/>
      <c r="W40" s="5"/>
      <c r="X40" s="5"/>
      <c r="Y40" s="5"/>
    </row>
    <row r="41" ht="15.75" customHeight="1">
      <c r="A41" s="5"/>
      <c r="B41" s="5"/>
      <c r="C41" s="5"/>
      <c r="D41" s="5"/>
      <c r="E41" s="5"/>
      <c r="F41" s="5"/>
      <c r="G41" s="112"/>
      <c r="H41" s="112"/>
      <c r="I41" s="112"/>
      <c r="J41" s="112"/>
      <c r="K41" s="112"/>
      <c r="L41" s="5"/>
      <c r="M41" s="5"/>
      <c r="N41" s="5"/>
      <c r="O41" s="5"/>
      <c r="P41" s="5"/>
      <c r="Q41" s="5"/>
      <c r="R41" s="5"/>
      <c r="S41" s="5"/>
      <c r="T41" s="5"/>
      <c r="U41" s="5"/>
      <c r="V41" s="5"/>
      <c r="W41" s="5"/>
      <c r="X41" s="5"/>
      <c r="Y41" s="5"/>
    </row>
    <row r="42" ht="15.75" customHeight="1">
      <c r="A42" s="5"/>
      <c r="B42" s="5"/>
      <c r="C42" s="5"/>
      <c r="D42" s="5"/>
      <c r="E42" s="5"/>
      <c r="F42" s="5"/>
      <c r="G42" s="112"/>
      <c r="H42" s="112"/>
      <c r="I42" s="112"/>
      <c r="J42" s="112"/>
      <c r="K42" s="112"/>
      <c r="L42" s="5"/>
      <c r="M42" s="5"/>
      <c r="N42" s="5"/>
      <c r="O42" s="5"/>
      <c r="P42" s="5"/>
      <c r="Q42" s="5"/>
      <c r="R42" s="5"/>
      <c r="S42" s="5"/>
      <c r="T42" s="5"/>
      <c r="U42" s="5"/>
      <c r="V42" s="5"/>
      <c r="W42" s="5"/>
      <c r="X42" s="5"/>
      <c r="Y42" s="5"/>
    </row>
    <row r="43" ht="15.75" customHeight="1">
      <c r="A43" s="5"/>
      <c r="B43" s="5"/>
      <c r="C43" s="5"/>
      <c r="D43" s="5"/>
      <c r="E43" s="5"/>
      <c r="F43" s="5"/>
      <c r="G43" s="112"/>
      <c r="H43" s="112"/>
      <c r="I43" s="112"/>
      <c r="J43" s="112"/>
      <c r="K43" s="112"/>
      <c r="L43" s="5"/>
      <c r="M43" s="5"/>
      <c r="N43" s="5"/>
      <c r="O43" s="5"/>
      <c r="P43" s="5"/>
      <c r="Q43" s="5"/>
      <c r="R43" s="5"/>
      <c r="S43" s="5"/>
      <c r="T43" s="5"/>
      <c r="U43" s="5"/>
      <c r="V43" s="5"/>
      <c r="W43" s="5"/>
      <c r="X43" s="5"/>
      <c r="Y43" s="5"/>
    </row>
    <row r="44" ht="15.75" customHeight="1">
      <c r="A44" s="5"/>
      <c r="B44" s="5"/>
      <c r="C44" s="5"/>
      <c r="D44" s="5"/>
      <c r="E44" s="5"/>
      <c r="F44" s="5"/>
      <c r="G44" s="112"/>
      <c r="H44" s="112"/>
      <c r="I44" s="112"/>
      <c r="J44" s="112"/>
      <c r="K44" s="112"/>
      <c r="L44" s="5"/>
      <c r="M44" s="5"/>
      <c r="N44" s="5"/>
      <c r="O44" s="5"/>
      <c r="P44" s="5"/>
      <c r="Q44" s="5"/>
      <c r="R44" s="5"/>
      <c r="S44" s="5"/>
      <c r="T44" s="5"/>
      <c r="U44" s="5"/>
      <c r="V44" s="5"/>
      <c r="W44" s="5"/>
      <c r="X44" s="5"/>
      <c r="Y44" s="5"/>
    </row>
    <row r="45" ht="15.75" customHeight="1">
      <c r="A45" s="5"/>
      <c r="B45" s="5"/>
      <c r="C45" s="5"/>
      <c r="D45" s="5"/>
      <c r="E45" s="5"/>
      <c r="F45" s="5"/>
      <c r="G45" s="112"/>
      <c r="H45" s="112"/>
      <c r="I45" s="112"/>
      <c r="J45" s="112"/>
      <c r="K45" s="112"/>
      <c r="L45" s="5"/>
      <c r="M45" s="5"/>
      <c r="N45" s="5"/>
      <c r="O45" s="5"/>
      <c r="P45" s="5"/>
      <c r="Q45" s="5"/>
      <c r="R45" s="5"/>
      <c r="S45" s="5"/>
      <c r="T45" s="5"/>
      <c r="U45" s="5"/>
      <c r="V45" s="5"/>
      <c r="W45" s="5"/>
      <c r="X45" s="5"/>
      <c r="Y45" s="5"/>
    </row>
    <row r="46" ht="15.75" customHeight="1">
      <c r="A46" s="5"/>
      <c r="B46" s="5"/>
      <c r="C46" s="5"/>
      <c r="D46" s="5"/>
      <c r="E46" s="5"/>
      <c r="F46" s="5"/>
      <c r="G46" s="112"/>
      <c r="H46" s="112"/>
      <c r="I46" s="112"/>
      <c r="J46" s="112"/>
      <c r="K46" s="112"/>
      <c r="L46" s="5"/>
      <c r="M46" s="5"/>
      <c r="N46" s="5"/>
      <c r="O46" s="5"/>
      <c r="P46" s="5"/>
      <c r="Q46" s="5"/>
      <c r="R46" s="5"/>
      <c r="S46" s="5"/>
      <c r="T46" s="5"/>
      <c r="U46" s="5"/>
      <c r="V46" s="5"/>
      <c r="W46" s="5"/>
      <c r="X46" s="5"/>
      <c r="Y46" s="5"/>
    </row>
    <row r="47" ht="15.75" customHeight="1">
      <c r="A47" s="5"/>
      <c r="B47" s="5"/>
      <c r="C47" s="5"/>
      <c r="D47" s="5"/>
      <c r="E47" s="5"/>
      <c r="F47" s="5"/>
      <c r="G47" s="112"/>
      <c r="H47" s="112"/>
      <c r="I47" s="112"/>
      <c r="J47" s="112"/>
      <c r="K47" s="112"/>
      <c r="L47" s="5"/>
      <c r="M47" s="5"/>
      <c r="N47" s="5"/>
      <c r="O47" s="5"/>
      <c r="P47" s="5"/>
      <c r="Q47" s="5"/>
      <c r="R47" s="5"/>
      <c r="S47" s="5"/>
      <c r="T47" s="5"/>
      <c r="U47" s="5"/>
      <c r="V47" s="5"/>
      <c r="W47" s="5"/>
      <c r="X47" s="5"/>
      <c r="Y47" s="5"/>
    </row>
    <row r="48" ht="15.75" customHeight="1">
      <c r="A48" s="5"/>
      <c r="B48" s="5"/>
      <c r="C48" s="5"/>
      <c r="D48" s="5"/>
      <c r="E48" s="5"/>
      <c r="F48" s="5"/>
      <c r="G48" s="112"/>
      <c r="H48" s="112"/>
      <c r="I48" s="112"/>
      <c r="J48" s="112"/>
      <c r="K48" s="112"/>
      <c r="L48" s="5"/>
      <c r="M48" s="5"/>
      <c r="N48" s="5"/>
      <c r="O48" s="5"/>
      <c r="P48" s="5"/>
      <c r="Q48" s="5"/>
      <c r="R48" s="5"/>
      <c r="S48" s="5"/>
      <c r="T48" s="5"/>
      <c r="U48" s="5"/>
      <c r="V48" s="5"/>
      <c r="W48" s="5"/>
      <c r="X48" s="5"/>
      <c r="Y48" s="5"/>
    </row>
    <row r="49" ht="15.75" customHeight="1">
      <c r="A49" s="5"/>
      <c r="B49" s="5"/>
      <c r="C49" s="5"/>
      <c r="D49" s="5"/>
      <c r="E49" s="5"/>
      <c r="F49" s="5"/>
      <c r="G49" s="112"/>
      <c r="H49" s="112"/>
      <c r="I49" s="112"/>
      <c r="J49" s="112"/>
      <c r="K49" s="112"/>
      <c r="L49" s="5"/>
      <c r="M49" s="5"/>
      <c r="N49" s="5"/>
      <c r="O49" s="5"/>
      <c r="P49" s="5"/>
      <c r="Q49" s="5"/>
      <c r="R49" s="5"/>
      <c r="S49" s="5"/>
      <c r="T49" s="5"/>
      <c r="U49" s="5"/>
      <c r="V49" s="5"/>
      <c r="W49" s="5"/>
      <c r="X49" s="5"/>
      <c r="Y49" s="5"/>
    </row>
    <row r="50" ht="15.75" customHeight="1">
      <c r="A50" s="5"/>
      <c r="B50" s="5"/>
      <c r="C50" s="5"/>
      <c r="D50" s="5"/>
      <c r="E50" s="5"/>
      <c r="F50" s="5"/>
      <c r="G50" s="112"/>
      <c r="H50" s="112"/>
      <c r="I50" s="112"/>
      <c r="J50" s="112"/>
      <c r="K50" s="112"/>
      <c r="L50" s="5"/>
      <c r="M50" s="5"/>
      <c r="N50" s="5"/>
      <c r="O50" s="5"/>
      <c r="P50" s="5"/>
      <c r="Q50" s="5"/>
      <c r="R50" s="5"/>
      <c r="S50" s="5"/>
      <c r="T50" s="5"/>
      <c r="U50" s="5"/>
      <c r="V50" s="5"/>
      <c r="W50" s="5"/>
      <c r="X50" s="5"/>
      <c r="Y50" s="5"/>
    </row>
    <row r="51" ht="15.75" customHeight="1">
      <c r="A51" s="5"/>
      <c r="B51" s="5"/>
      <c r="C51" s="5"/>
      <c r="D51" s="5"/>
      <c r="E51" s="5"/>
      <c r="F51" s="5"/>
      <c r="G51" s="112"/>
      <c r="H51" s="112"/>
      <c r="I51" s="112"/>
      <c r="J51" s="112"/>
      <c r="K51" s="112"/>
      <c r="L51" s="5"/>
      <c r="M51" s="5"/>
      <c r="N51" s="5"/>
      <c r="O51" s="5"/>
      <c r="P51" s="5"/>
      <c r="Q51" s="5"/>
      <c r="R51" s="5"/>
      <c r="S51" s="5"/>
      <c r="T51" s="5"/>
      <c r="U51" s="5"/>
      <c r="V51" s="5"/>
      <c r="W51" s="5"/>
      <c r="X51" s="5"/>
      <c r="Y51" s="5"/>
    </row>
    <row r="52" ht="15.75" customHeight="1">
      <c r="A52" s="5"/>
      <c r="B52" s="5"/>
      <c r="C52" s="5"/>
      <c r="D52" s="5"/>
      <c r="E52" s="5"/>
      <c r="F52" s="5"/>
      <c r="G52" s="112"/>
      <c r="H52" s="112"/>
      <c r="I52" s="112"/>
      <c r="J52" s="112"/>
      <c r="K52" s="112"/>
      <c r="L52" s="5"/>
      <c r="M52" s="5"/>
      <c r="N52" s="5"/>
      <c r="O52" s="5"/>
      <c r="P52" s="5"/>
      <c r="Q52" s="5"/>
      <c r="R52" s="5"/>
      <c r="S52" s="5"/>
      <c r="T52" s="5"/>
      <c r="U52" s="5"/>
      <c r="V52" s="5"/>
      <c r="W52" s="5"/>
      <c r="X52" s="5"/>
      <c r="Y52" s="5"/>
    </row>
    <row r="53" ht="15.75" customHeight="1">
      <c r="A53" s="5"/>
      <c r="B53" s="5"/>
      <c r="C53" s="5"/>
      <c r="D53" s="5"/>
      <c r="E53" s="5"/>
      <c r="F53" s="5"/>
      <c r="G53" s="112"/>
      <c r="H53" s="112"/>
      <c r="I53" s="112"/>
      <c r="J53" s="112"/>
      <c r="K53" s="112"/>
      <c r="L53" s="5"/>
      <c r="M53" s="5"/>
      <c r="N53" s="5"/>
      <c r="O53" s="5"/>
      <c r="P53" s="5"/>
      <c r="Q53" s="5"/>
      <c r="R53" s="5"/>
      <c r="S53" s="5"/>
      <c r="T53" s="5"/>
      <c r="U53" s="5"/>
      <c r="V53" s="5"/>
      <c r="W53" s="5"/>
      <c r="X53" s="5"/>
      <c r="Y53" s="5"/>
    </row>
    <row r="54" ht="15.75" customHeight="1">
      <c r="A54" s="5"/>
      <c r="B54" s="5"/>
      <c r="C54" s="5"/>
      <c r="D54" s="5"/>
      <c r="E54" s="5"/>
      <c r="F54" s="5"/>
      <c r="G54" s="112"/>
      <c r="H54" s="112"/>
      <c r="I54" s="112"/>
      <c r="J54" s="112"/>
      <c r="K54" s="112"/>
      <c r="L54" s="5"/>
      <c r="M54" s="5"/>
      <c r="N54" s="5"/>
      <c r="O54" s="5"/>
      <c r="P54" s="5"/>
      <c r="Q54" s="5"/>
      <c r="R54" s="5"/>
      <c r="S54" s="5"/>
      <c r="T54" s="5"/>
      <c r="U54" s="5"/>
      <c r="V54" s="5"/>
      <c r="W54" s="5"/>
      <c r="X54" s="5"/>
      <c r="Y54" s="5"/>
    </row>
    <row r="55" ht="15.75" customHeight="1">
      <c r="A55" s="5"/>
      <c r="B55" s="5"/>
      <c r="C55" s="5"/>
      <c r="D55" s="5"/>
      <c r="E55" s="5"/>
      <c r="F55" s="5"/>
      <c r="G55" s="112"/>
      <c r="H55" s="112"/>
      <c r="I55" s="112"/>
      <c r="J55" s="112"/>
      <c r="K55" s="112"/>
      <c r="L55" s="5"/>
      <c r="M55" s="5"/>
      <c r="N55" s="5"/>
      <c r="O55" s="5"/>
      <c r="P55" s="5"/>
      <c r="Q55" s="5"/>
      <c r="R55" s="5"/>
      <c r="S55" s="5"/>
      <c r="T55" s="5"/>
      <c r="U55" s="5"/>
      <c r="V55" s="5"/>
      <c r="W55" s="5"/>
      <c r="X55" s="5"/>
      <c r="Y55" s="5"/>
    </row>
    <row r="56" ht="15.75" customHeight="1">
      <c r="A56" s="5"/>
      <c r="B56" s="5"/>
      <c r="C56" s="5"/>
      <c r="D56" s="5"/>
      <c r="E56" s="5"/>
      <c r="F56" s="5"/>
      <c r="G56" s="112"/>
      <c r="H56" s="112"/>
      <c r="I56" s="112"/>
      <c r="J56" s="112"/>
      <c r="K56" s="112"/>
      <c r="L56" s="5"/>
      <c r="M56" s="5"/>
      <c r="N56" s="5"/>
      <c r="O56" s="5"/>
      <c r="P56" s="5"/>
      <c r="Q56" s="5"/>
      <c r="R56" s="5"/>
      <c r="S56" s="5"/>
      <c r="T56" s="5"/>
      <c r="U56" s="5"/>
      <c r="V56" s="5"/>
      <c r="W56" s="5"/>
      <c r="X56" s="5"/>
      <c r="Y56" s="5"/>
    </row>
    <row r="57" ht="15.75" customHeight="1">
      <c r="A57" s="5"/>
      <c r="B57" s="5"/>
      <c r="C57" s="5"/>
      <c r="D57" s="5"/>
      <c r="E57" s="5"/>
      <c r="F57" s="5"/>
      <c r="G57" s="112"/>
      <c r="H57" s="112"/>
      <c r="I57" s="112"/>
      <c r="J57" s="112"/>
      <c r="K57" s="112"/>
      <c r="L57" s="5"/>
      <c r="M57" s="5"/>
      <c r="N57" s="5"/>
      <c r="O57" s="5"/>
      <c r="P57" s="5"/>
      <c r="Q57" s="5"/>
      <c r="R57" s="5"/>
      <c r="S57" s="5"/>
      <c r="T57" s="5"/>
      <c r="U57" s="5"/>
      <c r="V57" s="5"/>
      <c r="W57" s="5"/>
      <c r="X57" s="5"/>
      <c r="Y57" s="5"/>
    </row>
    <row r="58" ht="15.75" customHeight="1">
      <c r="A58" s="5"/>
      <c r="B58" s="5"/>
      <c r="C58" s="5"/>
      <c r="D58" s="5"/>
      <c r="E58" s="5"/>
      <c r="F58" s="5"/>
      <c r="G58" s="112"/>
      <c r="H58" s="112"/>
      <c r="I58" s="112"/>
      <c r="J58" s="112"/>
      <c r="K58" s="112"/>
      <c r="L58" s="5"/>
      <c r="M58" s="5"/>
      <c r="N58" s="5"/>
      <c r="O58" s="5"/>
      <c r="P58" s="5"/>
      <c r="Q58" s="5"/>
      <c r="R58" s="5"/>
      <c r="S58" s="5"/>
      <c r="T58" s="5"/>
      <c r="U58" s="5"/>
      <c r="V58" s="5"/>
      <c r="W58" s="5"/>
      <c r="X58" s="5"/>
      <c r="Y58" s="5"/>
    </row>
    <row r="59" ht="15.75" customHeight="1">
      <c r="A59" s="5"/>
      <c r="B59" s="5"/>
      <c r="C59" s="5"/>
      <c r="D59" s="5"/>
      <c r="E59" s="5"/>
      <c r="F59" s="5"/>
      <c r="G59" s="112"/>
      <c r="H59" s="112"/>
      <c r="I59" s="112"/>
      <c r="J59" s="112"/>
      <c r="K59" s="112"/>
      <c r="L59" s="5"/>
      <c r="M59" s="5"/>
      <c r="N59" s="5"/>
      <c r="O59" s="5"/>
      <c r="P59" s="5"/>
      <c r="Q59" s="5"/>
      <c r="R59" s="5"/>
      <c r="S59" s="5"/>
      <c r="T59" s="5"/>
      <c r="U59" s="5"/>
      <c r="V59" s="5"/>
      <c r="W59" s="5"/>
      <c r="X59" s="5"/>
      <c r="Y59" s="5"/>
    </row>
    <row r="60" ht="15.75" customHeight="1">
      <c r="A60" s="5"/>
      <c r="B60" s="5"/>
      <c r="C60" s="5"/>
      <c r="D60" s="5"/>
      <c r="E60" s="5"/>
      <c r="F60" s="5"/>
      <c r="G60" s="112"/>
      <c r="H60" s="112"/>
      <c r="I60" s="112"/>
      <c r="J60" s="112"/>
      <c r="K60" s="112"/>
      <c r="L60" s="5"/>
      <c r="M60" s="5"/>
      <c r="N60" s="5"/>
      <c r="O60" s="5"/>
      <c r="P60" s="5"/>
      <c r="Q60" s="5"/>
      <c r="R60" s="5"/>
      <c r="S60" s="5"/>
      <c r="T60" s="5"/>
      <c r="U60" s="5"/>
      <c r="V60" s="5"/>
      <c r="W60" s="5"/>
      <c r="X60" s="5"/>
      <c r="Y60" s="5"/>
    </row>
    <row r="61" ht="15.75" customHeight="1">
      <c r="A61" s="5"/>
      <c r="B61" s="5"/>
      <c r="C61" s="5"/>
      <c r="D61" s="5"/>
      <c r="E61" s="5"/>
      <c r="F61" s="5"/>
      <c r="G61" s="112"/>
      <c r="H61" s="112"/>
      <c r="I61" s="112"/>
      <c r="J61" s="112"/>
      <c r="K61" s="112"/>
      <c r="L61" s="5"/>
      <c r="M61" s="5"/>
      <c r="N61" s="5"/>
      <c r="O61" s="5"/>
      <c r="P61" s="5"/>
      <c r="Q61" s="5"/>
      <c r="R61" s="5"/>
      <c r="S61" s="5"/>
      <c r="T61" s="5"/>
      <c r="U61" s="5"/>
      <c r="V61" s="5"/>
      <c r="W61" s="5"/>
      <c r="X61" s="5"/>
      <c r="Y61" s="5"/>
    </row>
    <row r="62" ht="15.75" customHeight="1">
      <c r="A62" s="5"/>
      <c r="B62" s="5"/>
      <c r="C62" s="5"/>
      <c r="D62" s="5"/>
      <c r="E62" s="5"/>
      <c r="F62" s="5"/>
      <c r="G62" s="112"/>
      <c r="H62" s="112"/>
      <c r="I62" s="112"/>
      <c r="J62" s="112"/>
      <c r="K62" s="112"/>
      <c r="L62" s="5"/>
      <c r="M62" s="5"/>
      <c r="N62" s="5"/>
      <c r="O62" s="5"/>
      <c r="P62" s="5"/>
      <c r="Q62" s="5"/>
      <c r="R62" s="5"/>
      <c r="S62" s="5"/>
      <c r="T62" s="5"/>
      <c r="U62" s="5"/>
      <c r="V62" s="5"/>
      <c r="W62" s="5"/>
      <c r="X62" s="5"/>
      <c r="Y62" s="5"/>
    </row>
    <row r="63" ht="15.75" customHeight="1">
      <c r="A63" s="5"/>
      <c r="B63" s="5"/>
      <c r="C63" s="5"/>
      <c r="D63" s="5"/>
      <c r="E63" s="5"/>
      <c r="F63" s="5"/>
      <c r="G63" s="112"/>
      <c r="H63" s="112"/>
      <c r="I63" s="112"/>
      <c r="J63" s="112"/>
      <c r="K63" s="112"/>
      <c r="L63" s="5"/>
      <c r="M63" s="5"/>
      <c r="N63" s="5"/>
      <c r="O63" s="5"/>
      <c r="P63" s="5"/>
      <c r="Q63" s="5"/>
      <c r="R63" s="5"/>
      <c r="S63" s="5"/>
      <c r="T63" s="5"/>
      <c r="U63" s="5"/>
      <c r="V63" s="5"/>
      <c r="W63" s="5"/>
      <c r="X63" s="5"/>
      <c r="Y63" s="5"/>
    </row>
    <row r="64" ht="15.75" customHeight="1">
      <c r="A64" s="5"/>
      <c r="B64" s="5"/>
      <c r="C64" s="5"/>
      <c r="D64" s="5"/>
      <c r="E64" s="5"/>
      <c r="F64" s="5"/>
      <c r="G64" s="112"/>
      <c r="H64" s="112"/>
      <c r="I64" s="112"/>
      <c r="J64" s="112"/>
      <c r="K64" s="112"/>
      <c r="L64" s="5"/>
      <c r="M64" s="5"/>
      <c r="N64" s="5"/>
      <c r="O64" s="5"/>
      <c r="P64" s="5"/>
      <c r="Q64" s="5"/>
      <c r="R64" s="5"/>
      <c r="S64" s="5"/>
      <c r="T64" s="5"/>
      <c r="U64" s="5"/>
      <c r="V64" s="5"/>
      <c r="W64" s="5"/>
      <c r="X64" s="5"/>
      <c r="Y64" s="5"/>
    </row>
    <row r="65" ht="15.75" customHeight="1">
      <c r="A65" s="5"/>
      <c r="B65" s="5"/>
      <c r="C65" s="5"/>
      <c r="D65" s="5"/>
      <c r="E65" s="5"/>
      <c r="F65" s="5"/>
      <c r="G65" s="112"/>
      <c r="H65" s="112"/>
      <c r="I65" s="112"/>
      <c r="J65" s="112"/>
      <c r="K65" s="112"/>
      <c r="L65" s="5"/>
      <c r="M65" s="5"/>
      <c r="N65" s="5"/>
      <c r="O65" s="5"/>
      <c r="P65" s="5"/>
      <c r="Q65" s="5"/>
      <c r="R65" s="5"/>
      <c r="S65" s="5"/>
      <c r="T65" s="5"/>
      <c r="U65" s="5"/>
      <c r="V65" s="5"/>
      <c r="W65" s="5"/>
      <c r="X65" s="5"/>
      <c r="Y65" s="5"/>
    </row>
    <row r="66" ht="15.75" customHeight="1">
      <c r="A66" s="5"/>
      <c r="B66" s="5"/>
      <c r="C66" s="5"/>
      <c r="D66" s="5"/>
      <c r="E66" s="5"/>
      <c r="F66" s="5"/>
      <c r="G66" s="112"/>
      <c r="H66" s="112"/>
      <c r="I66" s="112"/>
      <c r="J66" s="112"/>
      <c r="K66" s="112"/>
      <c r="L66" s="5"/>
      <c r="M66" s="5"/>
      <c r="N66" s="5"/>
      <c r="O66" s="5"/>
      <c r="P66" s="5"/>
      <c r="Q66" s="5"/>
      <c r="R66" s="5"/>
      <c r="S66" s="5"/>
      <c r="T66" s="5"/>
      <c r="U66" s="5"/>
      <c r="V66" s="5"/>
      <c r="W66" s="5"/>
      <c r="X66" s="5"/>
      <c r="Y66" s="5"/>
    </row>
    <row r="67" ht="15.75" customHeight="1">
      <c r="A67" s="5"/>
      <c r="B67" s="5"/>
      <c r="C67" s="5"/>
      <c r="D67" s="5"/>
      <c r="E67" s="5"/>
      <c r="F67" s="5"/>
      <c r="G67" s="112"/>
      <c r="H67" s="112"/>
      <c r="I67" s="112"/>
      <c r="J67" s="112"/>
      <c r="K67" s="112"/>
      <c r="L67" s="5"/>
      <c r="M67" s="5"/>
      <c r="N67" s="5"/>
      <c r="O67" s="5"/>
      <c r="P67" s="5"/>
      <c r="Q67" s="5"/>
      <c r="R67" s="5"/>
      <c r="S67" s="5"/>
      <c r="T67" s="5"/>
      <c r="U67" s="5"/>
      <c r="V67" s="5"/>
      <c r="W67" s="5"/>
      <c r="X67" s="5"/>
      <c r="Y67" s="5"/>
    </row>
    <row r="68" ht="15.75" customHeight="1">
      <c r="A68" s="5"/>
      <c r="B68" s="5"/>
      <c r="C68" s="5"/>
      <c r="D68" s="5"/>
      <c r="E68" s="5"/>
      <c r="F68" s="5"/>
      <c r="G68" s="112"/>
      <c r="H68" s="112"/>
      <c r="I68" s="112"/>
      <c r="J68" s="112"/>
      <c r="K68" s="112"/>
      <c r="L68" s="5"/>
      <c r="M68" s="5"/>
      <c r="N68" s="5"/>
      <c r="O68" s="5"/>
      <c r="P68" s="5"/>
      <c r="Q68" s="5"/>
      <c r="R68" s="5"/>
      <c r="S68" s="5"/>
      <c r="T68" s="5"/>
      <c r="U68" s="5"/>
      <c r="V68" s="5"/>
      <c r="W68" s="5"/>
      <c r="X68" s="5"/>
      <c r="Y68" s="5"/>
    </row>
    <row r="69" ht="15.75" customHeight="1">
      <c r="A69" s="5"/>
      <c r="B69" s="5"/>
      <c r="C69" s="5"/>
      <c r="D69" s="5"/>
      <c r="E69" s="5"/>
      <c r="F69" s="5"/>
      <c r="G69" s="112"/>
      <c r="H69" s="112"/>
      <c r="I69" s="112"/>
      <c r="J69" s="112"/>
      <c r="K69" s="112"/>
      <c r="L69" s="5"/>
      <c r="M69" s="5"/>
      <c r="N69" s="5"/>
      <c r="O69" s="5"/>
      <c r="P69" s="5"/>
      <c r="Q69" s="5"/>
      <c r="R69" s="5"/>
      <c r="S69" s="5"/>
      <c r="T69" s="5"/>
      <c r="U69" s="5"/>
      <c r="V69" s="5"/>
      <c r="W69" s="5"/>
      <c r="X69" s="5"/>
      <c r="Y69" s="5"/>
    </row>
    <row r="70" ht="15.75" customHeight="1">
      <c r="A70" s="5"/>
      <c r="B70" s="5"/>
      <c r="C70" s="5"/>
      <c r="D70" s="5"/>
      <c r="E70" s="5"/>
      <c r="F70" s="5"/>
      <c r="G70" s="112"/>
      <c r="H70" s="112"/>
      <c r="I70" s="112"/>
      <c r="J70" s="112"/>
      <c r="K70" s="112"/>
      <c r="L70" s="5"/>
      <c r="M70" s="5"/>
      <c r="N70" s="5"/>
      <c r="O70" s="5"/>
      <c r="P70" s="5"/>
      <c r="Q70" s="5"/>
      <c r="R70" s="5"/>
      <c r="S70" s="5"/>
      <c r="T70" s="5"/>
      <c r="U70" s="5"/>
      <c r="V70" s="5"/>
      <c r="W70" s="5"/>
      <c r="X70" s="5"/>
      <c r="Y70" s="5"/>
    </row>
    <row r="71" ht="15.75" customHeight="1">
      <c r="A71" s="5"/>
      <c r="B71" s="5"/>
      <c r="C71" s="5"/>
      <c r="D71" s="5"/>
      <c r="E71" s="5"/>
      <c r="F71" s="5"/>
      <c r="G71" s="112"/>
      <c r="H71" s="112"/>
      <c r="I71" s="112"/>
      <c r="J71" s="112"/>
      <c r="K71" s="112"/>
      <c r="L71" s="5"/>
      <c r="M71" s="5"/>
      <c r="N71" s="5"/>
      <c r="O71" s="5"/>
      <c r="P71" s="5"/>
      <c r="Q71" s="5"/>
      <c r="R71" s="5"/>
      <c r="S71" s="5"/>
      <c r="T71" s="5"/>
      <c r="U71" s="5"/>
      <c r="V71" s="5"/>
      <c r="W71" s="5"/>
      <c r="X71" s="5"/>
      <c r="Y71" s="5"/>
    </row>
    <row r="72" ht="15.75" customHeight="1">
      <c r="A72" s="5"/>
      <c r="B72" s="5"/>
      <c r="C72" s="5"/>
      <c r="D72" s="5"/>
      <c r="E72" s="5"/>
      <c r="F72" s="5"/>
      <c r="G72" s="112"/>
      <c r="H72" s="112"/>
      <c r="I72" s="112"/>
      <c r="J72" s="112"/>
      <c r="K72" s="112"/>
      <c r="L72" s="5"/>
      <c r="M72" s="5"/>
      <c r="N72" s="5"/>
      <c r="O72" s="5"/>
      <c r="P72" s="5"/>
      <c r="Q72" s="5"/>
      <c r="R72" s="5"/>
      <c r="S72" s="5"/>
      <c r="T72" s="5"/>
      <c r="U72" s="5"/>
      <c r="V72" s="5"/>
      <c r="W72" s="5"/>
      <c r="X72" s="5"/>
      <c r="Y72" s="5"/>
    </row>
    <row r="73" ht="15.75" customHeight="1">
      <c r="A73" s="5"/>
      <c r="B73" s="5"/>
      <c r="C73" s="5"/>
      <c r="D73" s="5"/>
      <c r="E73" s="5"/>
      <c r="F73" s="5"/>
      <c r="G73" s="112"/>
      <c r="H73" s="112"/>
      <c r="I73" s="112"/>
      <c r="J73" s="112"/>
      <c r="K73" s="112"/>
      <c r="L73" s="5"/>
      <c r="M73" s="5"/>
      <c r="N73" s="5"/>
      <c r="O73" s="5"/>
      <c r="P73" s="5"/>
      <c r="Q73" s="5"/>
      <c r="R73" s="5"/>
      <c r="S73" s="5"/>
      <c r="T73" s="5"/>
      <c r="U73" s="5"/>
      <c r="V73" s="5"/>
      <c r="W73" s="5"/>
      <c r="X73" s="5"/>
      <c r="Y73" s="5"/>
    </row>
    <row r="74" ht="15.75" customHeight="1">
      <c r="A74" s="5"/>
      <c r="B74" s="5"/>
      <c r="C74" s="5"/>
      <c r="D74" s="5"/>
      <c r="E74" s="5"/>
      <c r="F74" s="5"/>
      <c r="G74" s="112"/>
      <c r="H74" s="112"/>
      <c r="I74" s="112"/>
      <c r="J74" s="112"/>
      <c r="K74" s="112"/>
      <c r="L74" s="5"/>
      <c r="M74" s="5"/>
      <c r="N74" s="5"/>
      <c r="O74" s="5"/>
      <c r="P74" s="5"/>
      <c r="Q74" s="5"/>
      <c r="R74" s="5"/>
      <c r="S74" s="5"/>
      <c r="T74" s="5"/>
      <c r="U74" s="5"/>
      <c r="V74" s="5"/>
      <c r="W74" s="5"/>
      <c r="X74" s="5"/>
      <c r="Y74" s="5"/>
    </row>
    <row r="75" ht="15.75" customHeight="1">
      <c r="A75" s="5"/>
      <c r="B75" s="5"/>
      <c r="C75" s="5"/>
      <c r="D75" s="5"/>
      <c r="E75" s="5"/>
      <c r="F75" s="5"/>
      <c r="G75" s="112"/>
      <c r="H75" s="112"/>
      <c r="I75" s="112"/>
      <c r="J75" s="112"/>
      <c r="K75" s="112"/>
      <c r="L75" s="5"/>
      <c r="M75" s="5"/>
      <c r="N75" s="5"/>
      <c r="O75" s="5"/>
      <c r="P75" s="5"/>
      <c r="Q75" s="5"/>
      <c r="R75" s="5"/>
      <c r="S75" s="5"/>
      <c r="T75" s="5"/>
      <c r="U75" s="5"/>
      <c r="V75" s="5"/>
      <c r="W75" s="5"/>
      <c r="X75" s="5"/>
      <c r="Y75" s="5"/>
    </row>
    <row r="76" ht="15.75" customHeight="1">
      <c r="A76" s="5"/>
      <c r="B76" s="5"/>
      <c r="C76" s="5"/>
      <c r="D76" s="5"/>
      <c r="E76" s="5"/>
      <c r="F76" s="5"/>
      <c r="G76" s="112"/>
      <c r="H76" s="112"/>
      <c r="I76" s="112"/>
      <c r="J76" s="112"/>
      <c r="K76" s="112"/>
      <c r="L76" s="5"/>
      <c r="M76" s="5"/>
      <c r="N76" s="5"/>
      <c r="O76" s="5"/>
      <c r="P76" s="5"/>
      <c r="Q76" s="5"/>
      <c r="R76" s="5"/>
      <c r="S76" s="5"/>
      <c r="T76" s="5"/>
      <c r="U76" s="5"/>
      <c r="V76" s="5"/>
      <c r="W76" s="5"/>
      <c r="X76" s="5"/>
      <c r="Y76" s="5"/>
    </row>
    <row r="77" ht="15.75" customHeight="1">
      <c r="A77" s="5"/>
      <c r="B77" s="5"/>
      <c r="C77" s="5"/>
      <c r="D77" s="5"/>
      <c r="E77" s="5"/>
      <c r="F77" s="5"/>
      <c r="G77" s="112"/>
      <c r="H77" s="112"/>
      <c r="I77" s="112"/>
      <c r="J77" s="112"/>
      <c r="K77" s="112"/>
      <c r="L77" s="5"/>
      <c r="M77" s="5"/>
      <c r="N77" s="5"/>
      <c r="O77" s="5"/>
      <c r="P77" s="5"/>
      <c r="Q77" s="5"/>
      <c r="R77" s="5"/>
      <c r="S77" s="5"/>
      <c r="T77" s="5"/>
      <c r="U77" s="5"/>
      <c r="V77" s="5"/>
      <c r="W77" s="5"/>
      <c r="X77" s="5"/>
      <c r="Y77" s="5"/>
    </row>
    <row r="78" ht="15.75" customHeight="1">
      <c r="A78" s="5"/>
      <c r="B78" s="5"/>
      <c r="C78" s="5"/>
      <c r="D78" s="5"/>
      <c r="E78" s="5"/>
      <c r="F78" s="5"/>
      <c r="G78" s="112"/>
      <c r="H78" s="112"/>
      <c r="I78" s="112"/>
      <c r="J78" s="112"/>
      <c r="K78" s="112"/>
      <c r="L78" s="5"/>
      <c r="M78" s="5"/>
      <c r="N78" s="5"/>
      <c r="O78" s="5"/>
      <c r="P78" s="5"/>
      <c r="Q78" s="5"/>
      <c r="R78" s="5"/>
      <c r="S78" s="5"/>
      <c r="T78" s="5"/>
      <c r="U78" s="5"/>
      <c r="V78" s="5"/>
      <c r="W78" s="5"/>
      <c r="X78" s="5"/>
      <c r="Y78" s="5"/>
    </row>
    <row r="79" ht="15.75" customHeight="1">
      <c r="A79" s="5"/>
      <c r="B79" s="5"/>
      <c r="C79" s="5"/>
      <c r="D79" s="5"/>
      <c r="E79" s="5"/>
      <c r="F79" s="5"/>
      <c r="G79" s="112"/>
      <c r="H79" s="112"/>
      <c r="I79" s="112"/>
      <c r="J79" s="112"/>
      <c r="K79" s="112"/>
      <c r="L79" s="5"/>
      <c r="M79" s="5"/>
      <c r="N79" s="5"/>
      <c r="O79" s="5"/>
      <c r="P79" s="5"/>
      <c r="Q79" s="5"/>
      <c r="R79" s="5"/>
      <c r="S79" s="5"/>
      <c r="T79" s="5"/>
      <c r="U79" s="5"/>
      <c r="V79" s="5"/>
      <c r="W79" s="5"/>
      <c r="X79" s="5"/>
      <c r="Y79" s="5"/>
    </row>
    <row r="80" ht="15.75" customHeight="1">
      <c r="A80" s="5"/>
      <c r="B80" s="5"/>
      <c r="C80" s="5"/>
      <c r="D80" s="5"/>
      <c r="E80" s="5"/>
      <c r="F80" s="5"/>
      <c r="G80" s="112"/>
      <c r="H80" s="112"/>
      <c r="I80" s="112"/>
      <c r="J80" s="112"/>
      <c r="K80" s="112"/>
      <c r="L80" s="5"/>
      <c r="M80" s="5"/>
      <c r="N80" s="5"/>
      <c r="O80" s="5"/>
      <c r="P80" s="5"/>
      <c r="Q80" s="5"/>
      <c r="R80" s="5"/>
      <c r="S80" s="5"/>
      <c r="T80" s="5"/>
      <c r="U80" s="5"/>
      <c r="V80" s="5"/>
      <c r="W80" s="5"/>
      <c r="X80" s="5"/>
      <c r="Y80" s="5"/>
    </row>
    <row r="81" ht="15.75" customHeight="1">
      <c r="A81" s="5"/>
      <c r="B81" s="5"/>
      <c r="C81" s="5"/>
      <c r="D81" s="5"/>
      <c r="E81" s="5"/>
      <c r="F81" s="5"/>
      <c r="G81" s="112"/>
      <c r="H81" s="112"/>
      <c r="I81" s="112"/>
      <c r="J81" s="112"/>
      <c r="K81" s="112"/>
      <c r="L81" s="5"/>
      <c r="M81" s="5"/>
      <c r="N81" s="5"/>
      <c r="O81" s="5"/>
      <c r="P81" s="5"/>
      <c r="Q81" s="5"/>
      <c r="R81" s="5"/>
      <c r="S81" s="5"/>
      <c r="T81" s="5"/>
      <c r="U81" s="5"/>
      <c r="V81" s="5"/>
      <c r="W81" s="5"/>
      <c r="X81" s="5"/>
      <c r="Y81" s="5"/>
    </row>
    <row r="82" ht="15.75" customHeight="1">
      <c r="A82" s="5"/>
      <c r="B82" s="5"/>
      <c r="C82" s="5"/>
      <c r="D82" s="5"/>
      <c r="E82" s="5"/>
      <c r="F82" s="5"/>
      <c r="G82" s="112"/>
      <c r="H82" s="112"/>
      <c r="I82" s="112"/>
      <c r="J82" s="112"/>
      <c r="K82" s="112"/>
      <c r="L82" s="5"/>
      <c r="M82" s="5"/>
      <c r="N82" s="5"/>
      <c r="O82" s="5"/>
      <c r="P82" s="5"/>
      <c r="Q82" s="5"/>
      <c r="R82" s="5"/>
      <c r="S82" s="5"/>
      <c r="T82" s="5"/>
      <c r="U82" s="5"/>
      <c r="V82" s="5"/>
      <c r="W82" s="5"/>
      <c r="X82" s="5"/>
      <c r="Y82" s="5"/>
    </row>
    <row r="83" ht="15.75" customHeight="1">
      <c r="A83" s="5"/>
      <c r="B83" s="5"/>
      <c r="C83" s="5"/>
      <c r="D83" s="5"/>
      <c r="E83" s="5"/>
      <c r="F83" s="5"/>
      <c r="G83" s="112"/>
      <c r="H83" s="112"/>
      <c r="I83" s="112"/>
      <c r="J83" s="112"/>
      <c r="K83" s="112"/>
      <c r="L83" s="5"/>
      <c r="M83" s="5"/>
      <c r="N83" s="5"/>
      <c r="O83" s="5"/>
      <c r="P83" s="5"/>
      <c r="Q83" s="5"/>
      <c r="R83" s="5"/>
      <c r="S83" s="5"/>
      <c r="T83" s="5"/>
      <c r="U83" s="5"/>
      <c r="V83" s="5"/>
      <c r="W83" s="5"/>
      <c r="X83" s="5"/>
      <c r="Y83" s="5"/>
    </row>
    <row r="84" ht="15.75" customHeight="1">
      <c r="A84" s="5"/>
      <c r="B84" s="5"/>
      <c r="C84" s="5"/>
      <c r="D84" s="5"/>
      <c r="E84" s="5"/>
      <c r="F84" s="5"/>
      <c r="G84" s="112"/>
      <c r="H84" s="112"/>
      <c r="I84" s="112"/>
      <c r="J84" s="112"/>
      <c r="K84" s="112"/>
      <c r="L84" s="5"/>
      <c r="M84" s="5"/>
      <c r="N84" s="5"/>
      <c r="O84" s="5"/>
      <c r="P84" s="5"/>
      <c r="Q84" s="5"/>
      <c r="R84" s="5"/>
      <c r="S84" s="5"/>
      <c r="T84" s="5"/>
      <c r="U84" s="5"/>
      <c r="V84" s="5"/>
      <c r="W84" s="5"/>
      <c r="X84" s="5"/>
      <c r="Y84" s="5"/>
    </row>
    <row r="85" ht="15.75" customHeight="1">
      <c r="A85" s="5"/>
      <c r="B85" s="5"/>
      <c r="C85" s="5"/>
      <c r="D85" s="5"/>
      <c r="E85" s="5"/>
      <c r="F85" s="5"/>
      <c r="G85" s="112"/>
      <c r="H85" s="112"/>
      <c r="I85" s="112"/>
      <c r="J85" s="112"/>
      <c r="K85" s="112"/>
      <c r="L85" s="5"/>
      <c r="M85" s="5"/>
      <c r="N85" s="5"/>
      <c r="O85" s="5"/>
      <c r="P85" s="5"/>
      <c r="Q85" s="5"/>
      <c r="R85" s="5"/>
      <c r="S85" s="5"/>
      <c r="T85" s="5"/>
      <c r="U85" s="5"/>
      <c r="V85" s="5"/>
      <c r="W85" s="5"/>
      <c r="X85" s="5"/>
      <c r="Y85" s="5"/>
    </row>
    <row r="86" ht="15.75" customHeight="1">
      <c r="A86" s="5"/>
      <c r="B86" s="5"/>
      <c r="C86" s="5"/>
      <c r="D86" s="5"/>
      <c r="E86" s="5"/>
      <c r="F86" s="5"/>
      <c r="G86" s="112"/>
      <c r="H86" s="112"/>
      <c r="I86" s="112"/>
      <c r="J86" s="112"/>
      <c r="K86" s="112"/>
      <c r="L86" s="5"/>
      <c r="M86" s="5"/>
      <c r="N86" s="5"/>
      <c r="O86" s="5"/>
      <c r="P86" s="5"/>
      <c r="Q86" s="5"/>
      <c r="R86" s="5"/>
      <c r="S86" s="5"/>
      <c r="T86" s="5"/>
      <c r="U86" s="5"/>
      <c r="V86" s="5"/>
      <c r="W86" s="5"/>
      <c r="X86" s="5"/>
      <c r="Y86" s="5"/>
    </row>
    <row r="87" ht="15.75" customHeight="1">
      <c r="A87" s="5"/>
      <c r="B87" s="5"/>
      <c r="C87" s="5"/>
      <c r="D87" s="5"/>
      <c r="E87" s="5"/>
      <c r="F87" s="5"/>
      <c r="G87" s="112"/>
      <c r="H87" s="112"/>
      <c r="I87" s="112"/>
      <c r="J87" s="112"/>
      <c r="K87" s="112"/>
      <c r="L87" s="5"/>
      <c r="M87" s="5"/>
      <c r="N87" s="5"/>
      <c r="O87" s="5"/>
      <c r="P87" s="5"/>
      <c r="Q87" s="5"/>
      <c r="R87" s="5"/>
      <c r="S87" s="5"/>
      <c r="T87" s="5"/>
      <c r="U87" s="5"/>
      <c r="V87" s="5"/>
      <c r="W87" s="5"/>
      <c r="X87" s="5"/>
      <c r="Y87" s="5"/>
    </row>
    <row r="88" ht="15.75" customHeight="1">
      <c r="A88" s="5"/>
      <c r="B88" s="5"/>
      <c r="C88" s="5"/>
      <c r="D88" s="5"/>
      <c r="E88" s="5"/>
      <c r="F88" s="5"/>
      <c r="G88" s="112"/>
      <c r="H88" s="112"/>
      <c r="I88" s="112"/>
      <c r="J88" s="112"/>
      <c r="K88" s="112"/>
      <c r="L88" s="5"/>
      <c r="M88" s="5"/>
      <c r="N88" s="5"/>
      <c r="O88" s="5"/>
      <c r="P88" s="5"/>
      <c r="Q88" s="5"/>
      <c r="R88" s="5"/>
      <c r="S88" s="5"/>
      <c r="T88" s="5"/>
      <c r="U88" s="5"/>
      <c r="V88" s="5"/>
      <c r="W88" s="5"/>
      <c r="X88" s="5"/>
      <c r="Y88" s="5"/>
    </row>
    <row r="89" ht="15.75" customHeight="1">
      <c r="A89" s="5"/>
      <c r="B89" s="5"/>
      <c r="C89" s="5"/>
      <c r="D89" s="5"/>
      <c r="E89" s="5"/>
      <c r="F89" s="5"/>
      <c r="G89" s="112"/>
      <c r="H89" s="112"/>
      <c r="I89" s="112"/>
      <c r="J89" s="112"/>
      <c r="K89" s="112"/>
      <c r="L89" s="5"/>
      <c r="M89" s="5"/>
      <c r="N89" s="5"/>
      <c r="O89" s="5"/>
      <c r="P89" s="5"/>
      <c r="Q89" s="5"/>
      <c r="R89" s="5"/>
      <c r="S89" s="5"/>
      <c r="T89" s="5"/>
      <c r="U89" s="5"/>
      <c r="V89" s="5"/>
      <c r="W89" s="5"/>
      <c r="X89" s="5"/>
      <c r="Y89" s="5"/>
    </row>
    <row r="90" ht="15.75" customHeight="1">
      <c r="A90" s="5"/>
      <c r="B90" s="5"/>
      <c r="C90" s="5"/>
      <c r="D90" s="5"/>
      <c r="E90" s="5"/>
      <c r="F90" s="5"/>
      <c r="G90" s="112"/>
      <c r="H90" s="112"/>
      <c r="I90" s="112"/>
      <c r="J90" s="112"/>
      <c r="K90" s="112"/>
      <c r="L90" s="5"/>
      <c r="M90" s="5"/>
      <c r="N90" s="5"/>
      <c r="O90" s="5"/>
      <c r="P90" s="5"/>
      <c r="Q90" s="5"/>
      <c r="R90" s="5"/>
      <c r="S90" s="5"/>
      <c r="T90" s="5"/>
      <c r="U90" s="5"/>
      <c r="V90" s="5"/>
      <c r="W90" s="5"/>
      <c r="X90" s="5"/>
      <c r="Y90" s="5"/>
    </row>
    <row r="91" ht="15.75" customHeight="1">
      <c r="A91" s="5"/>
      <c r="B91" s="5"/>
      <c r="C91" s="5"/>
      <c r="D91" s="5"/>
      <c r="E91" s="5"/>
      <c r="F91" s="5"/>
      <c r="G91" s="112"/>
      <c r="H91" s="112"/>
      <c r="I91" s="112"/>
      <c r="J91" s="112"/>
      <c r="K91" s="112"/>
      <c r="L91" s="5"/>
      <c r="M91" s="5"/>
      <c r="N91" s="5"/>
      <c r="O91" s="5"/>
      <c r="P91" s="5"/>
      <c r="Q91" s="5"/>
      <c r="R91" s="5"/>
      <c r="S91" s="5"/>
      <c r="T91" s="5"/>
      <c r="U91" s="5"/>
      <c r="V91" s="5"/>
      <c r="W91" s="5"/>
      <c r="X91" s="5"/>
      <c r="Y91" s="5"/>
    </row>
    <row r="92" ht="15.75" customHeight="1">
      <c r="A92" s="5"/>
      <c r="B92" s="5"/>
      <c r="C92" s="5"/>
      <c r="D92" s="5"/>
      <c r="E92" s="5"/>
      <c r="F92" s="5"/>
      <c r="G92" s="112"/>
      <c r="H92" s="112"/>
      <c r="I92" s="112"/>
      <c r="J92" s="112"/>
      <c r="K92" s="112"/>
      <c r="L92" s="5"/>
      <c r="M92" s="5"/>
      <c r="N92" s="5"/>
      <c r="O92" s="5"/>
      <c r="P92" s="5"/>
      <c r="Q92" s="5"/>
      <c r="R92" s="5"/>
      <c r="S92" s="5"/>
      <c r="T92" s="5"/>
      <c r="U92" s="5"/>
      <c r="V92" s="5"/>
      <c r="W92" s="5"/>
      <c r="X92" s="5"/>
      <c r="Y92" s="5"/>
    </row>
    <row r="93" ht="15.75" customHeight="1">
      <c r="A93" s="5"/>
      <c r="B93" s="5"/>
      <c r="C93" s="5"/>
      <c r="D93" s="5"/>
      <c r="E93" s="5"/>
      <c r="F93" s="5"/>
      <c r="G93" s="112"/>
      <c r="H93" s="112"/>
      <c r="I93" s="112"/>
      <c r="J93" s="112"/>
      <c r="K93" s="112"/>
      <c r="L93" s="5"/>
      <c r="M93" s="5"/>
      <c r="N93" s="5"/>
      <c r="O93" s="5"/>
      <c r="P93" s="5"/>
      <c r="Q93" s="5"/>
      <c r="R93" s="5"/>
      <c r="S93" s="5"/>
      <c r="T93" s="5"/>
      <c r="U93" s="5"/>
      <c r="V93" s="5"/>
      <c r="W93" s="5"/>
      <c r="X93" s="5"/>
      <c r="Y93" s="5"/>
    </row>
    <row r="94" ht="15.75" customHeight="1">
      <c r="A94" s="5"/>
      <c r="B94" s="5"/>
      <c r="C94" s="5"/>
      <c r="D94" s="5"/>
      <c r="E94" s="5"/>
      <c r="F94" s="5"/>
      <c r="G94" s="112"/>
      <c r="H94" s="112"/>
      <c r="I94" s="112"/>
      <c r="J94" s="112"/>
      <c r="K94" s="112"/>
      <c r="L94" s="5"/>
      <c r="M94" s="5"/>
      <c r="N94" s="5"/>
      <c r="O94" s="5"/>
      <c r="P94" s="5"/>
      <c r="Q94" s="5"/>
      <c r="R94" s="5"/>
      <c r="S94" s="5"/>
      <c r="T94" s="5"/>
      <c r="U94" s="5"/>
      <c r="V94" s="5"/>
      <c r="W94" s="5"/>
      <c r="X94" s="5"/>
      <c r="Y94" s="5"/>
    </row>
    <row r="95" ht="15.75" customHeight="1">
      <c r="A95" s="5"/>
      <c r="B95" s="5"/>
      <c r="C95" s="5"/>
      <c r="D95" s="5"/>
      <c r="E95" s="5"/>
      <c r="F95" s="5"/>
      <c r="G95" s="112"/>
      <c r="H95" s="112"/>
      <c r="I95" s="112"/>
      <c r="J95" s="112"/>
      <c r="K95" s="112"/>
      <c r="L95" s="5"/>
      <c r="M95" s="5"/>
      <c r="N95" s="5"/>
      <c r="O95" s="5"/>
      <c r="P95" s="5"/>
      <c r="Q95" s="5"/>
      <c r="R95" s="5"/>
      <c r="S95" s="5"/>
      <c r="T95" s="5"/>
      <c r="U95" s="5"/>
      <c r="V95" s="5"/>
      <c r="W95" s="5"/>
      <c r="X95" s="5"/>
      <c r="Y95" s="5"/>
    </row>
    <row r="96" ht="15.75" customHeight="1">
      <c r="A96" s="5"/>
      <c r="B96" s="5"/>
      <c r="C96" s="5"/>
      <c r="D96" s="5"/>
      <c r="E96" s="5"/>
      <c r="F96" s="5"/>
      <c r="G96" s="112"/>
      <c r="H96" s="112"/>
      <c r="I96" s="112"/>
      <c r="J96" s="112"/>
      <c r="K96" s="112"/>
      <c r="L96" s="5"/>
      <c r="M96" s="5"/>
      <c r="N96" s="5"/>
      <c r="O96" s="5"/>
      <c r="P96" s="5"/>
      <c r="Q96" s="5"/>
      <c r="R96" s="5"/>
      <c r="S96" s="5"/>
      <c r="T96" s="5"/>
      <c r="U96" s="5"/>
      <c r="V96" s="5"/>
      <c r="W96" s="5"/>
      <c r="X96" s="5"/>
      <c r="Y96" s="5"/>
    </row>
    <row r="97" ht="15.75" customHeight="1">
      <c r="A97" s="5"/>
      <c r="B97" s="5"/>
      <c r="C97" s="5"/>
      <c r="D97" s="5"/>
      <c r="E97" s="5"/>
      <c r="F97" s="5"/>
      <c r="G97" s="112"/>
      <c r="H97" s="112"/>
      <c r="I97" s="112"/>
      <c r="J97" s="112"/>
      <c r="K97" s="112"/>
      <c r="L97" s="5"/>
      <c r="M97" s="5"/>
      <c r="N97" s="5"/>
      <c r="O97" s="5"/>
      <c r="P97" s="5"/>
      <c r="Q97" s="5"/>
      <c r="R97" s="5"/>
      <c r="S97" s="5"/>
      <c r="T97" s="5"/>
      <c r="U97" s="5"/>
      <c r="V97" s="5"/>
      <c r="W97" s="5"/>
      <c r="X97" s="5"/>
      <c r="Y97" s="5"/>
    </row>
    <row r="98" ht="15.75" customHeight="1">
      <c r="A98" s="5"/>
      <c r="B98" s="5"/>
      <c r="C98" s="5"/>
      <c r="D98" s="5"/>
      <c r="E98" s="5"/>
      <c r="F98" s="5"/>
      <c r="G98" s="112"/>
      <c r="H98" s="112"/>
      <c r="I98" s="112"/>
      <c r="J98" s="112"/>
      <c r="K98" s="112"/>
      <c r="L98" s="5"/>
      <c r="M98" s="5"/>
      <c r="N98" s="5"/>
      <c r="O98" s="5"/>
      <c r="P98" s="5"/>
      <c r="Q98" s="5"/>
      <c r="R98" s="5"/>
      <c r="S98" s="5"/>
      <c r="T98" s="5"/>
      <c r="U98" s="5"/>
      <c r="V98" s="5"/>
      <c r="W98" s="5"/>
      <c r="X98" s="5"/>
      <c r="Y98" s="5"/>
    </row>
    <row r="99" ht="15.75" customHeight="1">
      <c r="A99" s="5"/>
      <c r="B99" s="5"/>
      <c r="C99" s="5"/>
      <c r="D99" s="5"/>
      <c r="E99" s="5"/>
      <c r="F99" s="5"/>
      <c r="G99" s="112"/>
      <c r="H99" s="112"/>
      <c r="I99" s="112"/>
      <c r="J99" s="112"/>
      <c r="K99" s="112"/>
      <c r="L99" s="5"/>
      <c r="M99" s="5"/>
      <c r="N99" s="5"/>
      <c r="O99" s="5"/>
      <c r="P99" s="5"/>
      <c r="Q99" s="5"/>
      <c r="R99" s="5"/>
      <c r="S99" s="5"/>
      <c r="T99" s="5"/>
      <c r="U99" s="5"/>
      <c r="V99" s="5"/>
      <c r="W99" s="5"/>
      <c r="X99" s="5"/>
      <c r="Y99" s="5"/>
    </row>
    <row r="100" ht="15.75" customHeight="1">
      <c r="A100" s="5"/>
      <c r="B100" s="5"/>
      <c r="C100" s="5"/>
      <c r="D100" s="5"/>
      <c r="E100" s="5"/>
      <c r="F100" s="5"/>
      <c r="G100" s="112"/>
      <c r="H100" s="112"/>
      <c r="I100" s="112"/>
      <c r="J100" s="112"/>
      <c r="K100" s="112"/>
      <c r="L100" s="5"/>
      <c r="M100" s="5"/>
      <c r="N100" s="5"/>
      <c r="O100" s="5"/>
      <c r="P100" s="5"/>
      <c r="Q100" s="5"/>
      <c r="R100" s="5"/>
      <c r="S100" s="5"/>
      <c r="T100" s="5"/>
      <c r="U100" s="5"/>
      <c r="V100" s="5"/>
      <c r="W100" s="5"/>
      <c r="X100" s="5"/>
      <c r="Y100" s="5"/>
    </row>
    <row r="101" ht="15.75" customHeight="1">
      <c r="A101" s="5"/>
      <c r="B101" s="5"/>
      <c r="C101" s="5"/>
      <c r="D101" s="5"/>
      <c r="E101" s="5"/>
      <c r="F101" s="5"/>
      <c r="G101" s="112"/>
      <c r="H101" s="112"/>
      <c r="I101" s="112"/>
      <c r="J101" s="112"/>
      <c r="K101" s="112"/>
      <c r="L101" s="5"/>
      <c r="M101" s="5"/>
      <c r="N101" s="5"/>
      <c r="O101" s="5"/>
      <c r="P101" s="5"/>
      <c r="Q101" s="5"/>
      <c r="R101" s="5"/>
      <c r="S101" s="5"/>
      <c r="T101" s="5"/>
      <c r="U101" s="5"/>
      <c r="V101" s="5"/>
      <c r="W101" s="5"/>
      <c r="X101" s="5"/>
      <c r="Y101" s="5"/>
    </row>
    <row r="102" ht="15.75" customHeight="1">
      <c r="A102" s="5"/>
      <c r="B102" s="5"/>
      <c r="C102" s="5"/>
      <c r="D102" s="5"/>
      <c r="E102" s="5"/>
      <c r="F102" s="5"/>
      <c r="G102" s="112"/>
      <c r="H102" s="112"/>
      <c r="I102" s="112"/>
      <c r="J102" s="112"/>
      <c r="K102" s="112"/>
      <c r="L102" s="5"/>
      <c r="M102" s="5"/>
      <c r="N102" s="5"/>
      <c r="O102" s="5"/>
      <c r="P102" s="5"/>
      <c r="Q102" s="5"/>
      <c r="R102" s="5"/>
      <c r="S102" s="5"/>
      <c r="T102" s="5"/>
      <c r="U102" s="5"/>
      <c r="V102" s="5"/>
      <c r="W102" s="5"/>
      <c r="X102" s="5"/>
      <c r="Y102" s="5"/>
    </row>
    <row r="103" ht="15.75" customHeight="1">
      <c r="A103" s="5"/>
      <c r="B103" s="5"/>
      <c r="C103" s="5"/>
      <c r="D103" s="5"/>
      <c r="E103" s="5"/>
      <c r="F103" s="5"/>
      <c r="G103" s="112"/>
      <c r="H103" s="112"/>
      <c r="I103" s="112"/>
      <c r="J103" s="112"/>
      <c r="K103" s="112"/>
      <c r="L103" s="5"/>
      <c r="M103" s="5"/>
      <c r="N103" s="5"/>
      <c r="O103" s="5"/>
      <c r="P103" s="5"/>
      <c r="Q103" s="5"/>
      <c r="R103" s="5"/>
      <c r="S103" s="5"/>
      <c r="T103" s="5"/>
      <c r="U103" s="5"/>
      <c r="V103" s="5"/>
      <c r="W103" s="5"/>
      <c r="X103" s="5"/>
      <c r="Y103" s="5"/>
    </row>
    <row r="104" ht="15.75" customHeight="1">
      <c r="A104" s="5"/>
      <c r="B104" s="5"/>
      <c r="C104" s="5"/>
      <c r="D104" s="5"/>
      <c r="E104" s="5"/>
      <c r="F104" s="5"/>
      <c r="G104" s="112"/>
      <c r="H104" s="112"/>
      <c r="I104" s="112"/>
      <c r="J104" s="112"/>
      <c r="K104" s="112"/>
      <c r="L104" s="5"/>
      <c r="M104" s="5"/>
      <c r="N104" s="5"/>
      <c r="O104" s="5"/>
      <c r="P104" s="5"/>
      <c r="Q104" s="5"/>
      <c r="R104" s="5"/>
      <c r="S104" s="5"/>
      <c r="T104" s="5"/>
      <c r="U104" s="5"/>
      <c r="V104" s="5"/>
      <c r="W104" s="5"/>
      <c r="X104" s="5"/>
      <c r="Y104" s="5"/>
    </row>
    <row r="105" ht="15.75" customHeight="1">
      <c r="A105" s="5"/>
      <c r="B105" s="5"/>
      <c r="C105" s="5"/>
      <c r="D105" s="5"/>
      <c r="E105" s="5"/>
      <c r="F105" s="5"/>
      <c r="G105" s="112"/>
      <c r="H105" s="112"/>
      <c r="I105" s="112"/>
      <c r="J105" s="112"/>
      <c r="K105" s="112"/>
      <c r="L105" s="5"/>
      <c r="M105" s="5"/>
      <c r="N105" s="5"/>
      <c r="O105" s="5"/>
      <c r="P105" s="5"/>
      <c r="Q105" s="5"/>
      <c r="R105" s="5"/>
      <c r="S105" s="5"/>
      <c r="T105" s="5"/>
      <c r="U105" s="5"/>
      <c r="V105" s="5"/>
      <c r="W105" s="5"/>
      <c r="X105" s="5"/>
      <c r="Y105" s="5"/>
    </row>
    <row r="106" ht="15.75" customHeight="1">
      <c r="A106" s="5"/>
      <c r="B106" s="5"/>
      <c r="C106" s="5"/>
      <c r="D106" s="5"/>
      <c r="E106" s="5"/>
      <c r="F106" s="5"/>
      <c r="G106" s="112"/>
      <c r="H106" s="112"/>
      <c r="I106" s="112"/>
      <c r="J106" s="112"/>
      <c r="K106" s="112"/>
      <c r="L106" s="5"/>
      <c r="M106" s="5"/>
      <c r="N106" s="5"/>
      <c r="O106" s="5"/>
      <c r="P106" s="5"/>
      <c r="Q106" s="5"/>
      <c r="R106" s="5"/>
      <c r="S106" s="5"/>
      <c r="T106" s="5"/>
      <c r="U106" s="5"/>
      <c r="V106" s="5"/>
      <c r="W106" s="5"/>
      <c r="X106" s="5"/>
      <c r="Y106" s="5"/>
    </row>
    <row r="107" ht="15.75" customHeight="1">
      <c r="A107" s="5"/>
      <c r="B107" s="5"/>
      <c r="C107" s="5"/>
      <c r="D107" s="5"/>
      <c r="E107" s="5"/>
      <c r="F107" s="5"/>
      <c r="G107" s="112"/>
      <c r="H107" s="112"/>
      <c r="I107" s="112"/>
      <c r="J107" s="112"/>
      <c r="K107" s="112"/>
      <c r="L107" s="5"/>
      <c r="M107" s="5"/>
      <c r="N107" s="5"/>
      <c r="O107" s="5"/>
      <c r="P107" s="5"/>
      <c r="Q107" s="5"/>
      <c r="R107" s="5"/>
      <c r="S107" s="5"/>
      <c r="T107" s="5"/>
      <c r="U107" s="5"/>
      <c r="V107" s="5"/>
      <c r="W107" s="5"/>
      <c r="X107" s="5"/>
      <c r="Y107" s="5"/>
    </row>
    <row r="108" ht="15.75" customHeight="1">
      <c r="A108" s="5"/>
      <c r="B108" s="5"/>
      <c r="C108" s="5"/>
      <c r="D108" s="5"/>
      <c r="E108" s="5"/>
      <c r="F108" s="5"/>
      <c r="G108" s="112"/>
      <c r="H108" s="112"/>
      <c r="I108" s="112"/>
      <c r="J108" s="112"/>
      <c r="K108" s="112"/>
      <c r="L108" s="5"/>
      <c r="M108" s="5"/>
      <c r="N108" s="5"/>
      <c r="O108" s="5"/>
      <c r="P108" s="5"/>
      <c r="Q108" s="5"/>
      <c r="R108" s="5"/>
      <c r="S108" s="5"/>
      <c r="T108" s="5"/>
      <c r="U108" s="5"/>
      <c r="V108" s="5"/>
      <c r="W108" s="5"/>
      <c r="X108" s="5"/>
      <c r="Y108" s="5"/>
    </row>
    <row r="109" ht="15.75" customHeight="1">
      <c r="A109" s="5"/>
      <c r="B109" s="5"/>
      <c r="C109" s="5"/>
      <c r="D109" s="5"/>
      <c r="E109" s="5"/>
      <c r="F109" s="5"/>
      <c r="G109" s="112"/>
      <c r="H109" s="112"/>
      <c r="I109" s="112"/>
      <c r="J109" s="112"/>
      <c r="K109" s="112"/>
      <c r="L109" s="5"/>
      <c r="M109" s="5"/>
      <c r="N109" s="5"/>
      <c r="O109" s="5"/>
      <c r="P109" s="5"/>
      <c r="Q109" s="5"/>
      <c r="R109" s="5"/>
      <c r="S109" s="5"/>
      <c r="T109" s="5"/>
      <c r="U109" s="5"/>
      <c r="V109" s="5"/>
      <c r="W109" s="5"/>
      <c r="X109" s="5"/>
      <c r="Y109" s="5"/>
    </row>
    <row r="110" ht="15.75" customHeight="1">
      <c r="A110" s="5"/>
      <c r="B110" s="5"/>
      <c r="C110" s="5"/>
      <c r="D110" s="5"/>
      <c r="E110" s="5"/>
      <c r="F110" s="5"/>
      <c r="G110" s="112"/>
      <c r="H110" s="112"/>
      <c r="I110" s="112"/>
      <c r="J110" s="112"/>
      <c r="K110" s="112"/>
      <c r="L110" s="5"/>
      <c r="M110" s="5"/>
      <c r="N110" s="5"/>
      <c r="O110" s="5"/>
      <c r="P110" s="5"/>
      <c r="Q110" s="5"/>
      <c r="R110" s="5"/>
      <c r="S110" s="5"/>
      <c r="T110" s="5"/>
      <c r="U110" s="5"/>
      <c r="V110" s="5"/>
      <c r="W110" s="5"/>
      <c r="X110" s="5"/>
      <c r="Y110" s="5"/>
    </row>
    <row r="111" ht="15.75" customHeight="1">
      <c r="A111" s="5"/>
      <c r="B111" s="5"/>
      <c r="C111" s="5"/>
      <c r="D111" s="5"/>
      <c r="E111" s="5"/>
      <c r="F111" s="5"/>
      <c r="G111" s="112"/>
      <c r="H111" s="112"/>
      <c r="I111" s="112"/>
      <c r="J111" s="112"/>
      <c r="K111" s="112"/>
      <c r="L111" s="5"/>
      <c r="M111" s="5"/>
      <c r="N111" s="5"/>
      <c r="O111" s="5"/>
      <c r="P111" s="5"/>
      <c r="Q111" s="5"/>
      <c r="R111" s="5"/>
      <c r="S111" s="5"/>
      <c r="T111" s="5"/>
      <c r="U111" s="5"/>
      <c r="V111" s="5"/>
      <c r="W111" s="5"/>
      <c r="X111" s="5"/>
      <c r="Y111" s="5"/>
    </row>
    <row r="112" ht="15.75" customHeight="1">
      <c r="A112" s="5"/>
      <c r="B112" s="5"/>
      <c r="C112" s="5"/>
      <c r="D112" s="5"/>
      <c r="E112" s="5"/>
      <c r="F112" s="5"/>
      <c r="G112" s="112"/>
      <c r="H112" s="112"/>
      <c r="I112" s="112"/>
      <c r="J112" s="112"/>
      <c r="K112" s="112"/>
      <c r="L112" s="5"/>
      <c r="M112" s="5"/>
      <c r="N112" s="5"/>
      <c r="O112" s="5"/>
      <c r="P112" s="5"/>
      <c r="Q112" s="5"/>
      <c r="R112" s="5"/>
      <c r="S112" s="5"/>
      <c r="T112" s="5"/>
      <c r="U112" s="5"/>
      <c r="V112" s="5"/>
      <c r="W112" s="5"/>
      <c r="X112" s="5"/>
      <c r="Y112" s="5"/>
    </row>
    <row r="113" ht="15.75" customHeight="1">
      <c r="A113" s="5"/>
      <c r="B113" s="5"/>
      <c r="C113" s="5"/>
      <c r="D113" s="5"/>
      <c r="E113" s="5"/>
      <c r="F113" s="5"/>
      <c r="G113" s="112"/>
      <c r="H113" s="112"/>
      <c r="I113" s="112"/>
      <c r="J113" s="112"/>
      <c r="K113" s="112"/>
      <c r="L113" s="5"/>
      <c r="M113" s="5"/>
      <c r="N113" s="5"/>
      <c r="O113" s="5"/>
      <c r="P113" s="5"/>
      <c r="Q113" s="5"/>
      <c r="R113" s="5"/>
      <c r="S113" s="5"/>
      <c r="T113" s="5"/>
      <c r="U113" s="5"/>
      <c r="V113" s="5"/>
      <c r="W113" s="5"/>
      <c r="X113" s="5"/>
      <c r="Y113" s="5"/>
    </row>
    <row r="114" ht="15.75" customHeight="1">
      <c r="A114" s="5"/>
      <c r="B114" s="5"/>
      <c r="C114" s="5"/>
      <c r="D114" s="5"/>
      <c r="E114" s="5"/>
      <c r="F114" s="5"/>
      <c r="G114" s="112"/>
      <c r="H114" s="112"/>
      <c r="I114" s="112"/>
      <c r="J114" s="112"/>
      <c r="K114" s="112"/>
      <c r="L114" s="5"/>
      <c r="M114" s="5"/>
      <c r="N114" s="5"/>
      <c r="O114" s="5"/>
      <c r="P114" s="5"/>
      <c r="Q114" s="5"/>
      <c r="R114" s="5"/>
      <c r="S114" s="5"/>
      <c r="T114" s="5"/>
      <c r="U114" s="5"/>
      <c r="V114" s="5"/>
      <c r="W114" s="5"/>
      <c r="X114" s="5"/>
      <c r="Y114" s="5"/>
    </row>
    <row r="115" ht="15.75" customHeight="1">
      <c r="A115" s="5"/>
      <c r="B115" s="5"/>
      <c r="C115" s="5"/>
      <c r="D115" s="5"/>
      <c r="E115" s="5"/>
      <c r="F115" s="5"/>
      <c r="G115" s="112"/>
      <c r="H115" s="112"/>
      <c r="I115" s="112"/>
      <c r="J115" s="112"/>
      <c r="K115" s="112"/>
      <c r="L115" s="5"/>
      <c r="M115" s="5"/>
      <c r="N115" s="5"/>
      <c r="O115" s="5"/>
      <c r="P115" s="5"/>
      <c r="Q115" s="5"/>
      <c r="R115" s="5"/>
      <c r="S115" s="5"/>
      <c r="T115" s="5"/>
      <c r="U115" s="5"/>
      <c r="V115" s="5"/>
      <c r="W115" s="5"/>
      <c r="X115" s="5"/>
      <c r="Y115" s="5"/>
    </row>
    <row r="116" ht="15.75" customHeight="1">
      <c r="A116" s="5"/>
      <c r="B116" s="5"/>
      <c r="C116" s="5"/>
      <c r="D116" s="5"/>
      <c r="E116" s="5"/>
      <c r="F116" s="5"/>
      <c r="G116" s="112"/>
      <c r="H116" s="112"/>
      <c r="I116" s="112"/>
      <c r="J116" s="112"/>
      <c r="K116" s="112"/>
      <c r="L116" s="5"/>
      <c r="M116" s="5"/>
      <c r="N116" s="5"/>
      <c r="O116" s="5"/>
      <c r="P116" s="5"/>
      <c r="Q116" s="5"/>
      <c r="R116" s="5"/>
      <c r="S116" s="5"/>
      <c r="T116" s="5"/>
      <c r="U116" s="5"/>
      <c r="V116" s="5"/>
      <c r="W116" s="5"/>
      <c r="X116" s="5"/>
      <c r="Y116" s="5"/>
    </row>
    <row r="117" ht="15.75" customHeight="1">
      <c r="A117" s="5"/>
      <c r="B117" s="5"/>
      <c r="C117" s="5"/>
      <c r="D117" s="5"/>
      <c r="E117" s="5"/>
      <c r="F117" s="5"/>
      <c r="G117" s="112"/>
      <c r="H117" s="112"/>
      <c r="I117" s="112"/>
      <c r="J117" s="112"/>
      <c r="K117" s="112"/>
      <c r="L117" s="5"/>
      <c r="M117" s="5"/>
      <c r="N117" s="5"/>
      <c r="O117" s="5"/>
      <c r="P117" s="5"/>
      <c r="Q117" s="5"/>
      <c r="R117" s="5"/>
      <c r="S117" s="5"/>
      <c r="T117" s="5"/>
      <c r="U117" s="5"/>
      <c r="V117" s="5"/>
      <c r="W117" s="5"/>
      <c r="X117" s="5"/>
      <c r="Y117" s="5"/>
    </row>
    <row r="118" ht="15.75" customHeight="1">
      <c r="A118" s="5"/>
      <c r="B118" s="5"/>
      <c r="C118" s="5"/>
      <c r="D118" s="5"/>
      <c r="E118" s="5"/>
      <c r="F118" s="5"/>
      <c r="G118" s="112"/>
      <c r="H118" s="112"/>
      <c r="I118" s="112"/>
      <c r="J118" s="112"/>
      <c r="K118" s="112"/>
      <c r="L118" s="5"/>
      <c r="M118" s="5"/>
      <c r="N118" s="5"/>
      <c r="O118" s="5"/>
      <c r="P118" s="5"/>
      <c r="Q118" s="5"/>
      <c r="R118" s="5"/>
      <c r="S118" s="5"/>
      <c r="T118" s="5"/>
      <c r="U118" s="5"/>
      <c r="V118" s="5"/>
      <c r="W118" s="5"/>
      <c r="X118" s="5"/>
      <c r="Y118" s="5"/>
    </row>
    <row r="119" ht="15.75" customHeight="1">
      <c r="A119" s="5"/>
      <c r="B119" s="5"/>
      <c r="C119" s="5"/>
      <c r="D119" s="5"/>
      <c r="E119" s="5"/>
      <c r="F119" s="5"/>
      <c r="G119" s="112"/>
      <c r="H119" s="112"/>
      <c r="I119" s="112"/>
      <c r="J119" s="112"/>
      <c r="K119" s="112"/>
      <c r="L119" s="5"/>
      <c r="M119" s="5"/>
      <c r="N119" s="5"/>
      <c r="O119" s="5"/>
      <c r="P119" s="5"/>
      <c r="Q119" s="5"/>
      <c r="R119" s="5"/>
      <c r="S119" s="5"/>
      <c r="T119" s="5"/>
      <c r="U119" s="5"/>
      <c r="V119" s="5"/>
      <c r="W119" s="5"/>
      <c r="X119" s="5"/>
      <c r="Y119" s="5"/>
    </row>
    <row r="120" ht="15.75" customHeight="1">
      <c r="A120" s="5"/>
      <c r="B120" s="5"/>
      <c r="C120" s="5"/>
      <c r="D120" s="5"/>
      <c r="E120" s="5"/>
      <c r="F120" s="5"/>
      <c r="G120" s="112"/>
      <c r="H120" s="112"/>
      <c r="I120" s="112"/>
      <c r="J120" s="112"/>
      <c r="K120" s="112"/>
      <c r="L120" s="5"/>
      <c r="M120" s="5"/>
      <c r="N120" s="5"/>
      <c r="O120" s="5"/>
      <c r="P120" s="5"/>
      <c r="Q120" s="5"/>
      <c r="R120" s="5"/>
      <c r="S120" s="5"/>
      <c r="T120" s="5"/>
      <c r="U120" s="5"/>
      <c r="V120" s="5"/>
      <c r="W120" s="5"/>
      <c r="X120" s="5"/>
      <c r="Y120" s="5"/>
    </row>
    <row r="121" ht="15.75" customHeight="1">
      <c r="A121" s="5"/>
      <c r="B121" s="5"/>
      <c r="C121" s="5"/>
      <c r="D121" s="5"/>
      <c r="E121" s="5"/>
      <c r="F121" s="5"/>
      <c r="G121" s="112"/>
      <c r="H121" s="112"/>
      <c r="I121" s="112"/>
      <c r="J121" s="112"/>
      <c r="K121" s="112"/>
      <c r="L121" s="5"/>
      <c r="M121" s="5"/>
      <c r="N121" s="5"/>
      <c r="O121" s="5"/>
      <c r="P121" s="5"/>
      <c r="Q121" s="5"/>
      <c r="R121" s="5"/>
      <c r="S121" s="5"/>
      <c r="T121" s="5"/>
      <c r="U121" s="5"/>
      <c r="V121" s="5"/>
      <c r="W121" s="5"/>
      <c r="X121" s="5"/>
      <c r="Y121" s="5"/>
    </row>
    <row r="122" ht="15.75" customHeight="1">
      <c r="A122" s="5"/>
      <c r="B122" s="5"/>
      <c r="C122" s="5"/>
      <c r="D122" s="5"/>
      <c r="E122" s="5"/>
      <c r="F122" s="5"/>
      <c r="G122" s="112"/>
      <c r="H122" s="112"/>
      <c r="I122" s="112"/>
      <c r="J122" s="112"/>
      <c r="K122" s="112"/>
      <c r="L122" s="5"/>
      <c r="M122" s="5"/>
      <c r="N122" s="5"/>
      <c r="O122" s="5"/>
      <c r="P122" s="5"/>
      <c r="Q122" s="5"/>
      <c r="R122" s="5"/>
      <c r="S122" s="5"/>
      <c r="T122" s="5"/>
      <c r="U122" s="5"/>
      <c r="V122" s="5"/>
      <c r="W122" s="5"/>
      <c r="X122" s="5"/>
      <c r="Y122" s="5"/>
    </row>
    <row r="123" ht="15.75" customHeight="1">
      <c r="A123" s="5"/>
      <c r="B123" s="5"/>
      <c r="C123" s="5"/>
      <c r="D123" s="5"/>
      <c r="E123" s="5"/>
      <c r="F123" s="5"/>
      <c r="G123" s="112"/>
      <c r="H123" s="112"/>
      <c r="I123" s="112"/>
      <c r="J123" s="112"/>
      <c r="K123" s="112"/>
      <c r="L123" s="5"/>
      <c r="M123" s="5"/>
      <c r="N123" s="5"/>
      <c r="O123" s="5"/>
      <c r="P123" s="5"/>
      <c r="Q123" s="5"/>
      <c r="R123" s="5"/>
      <c r="S123" s="5"/>
      <c r="T123" s="5"/>
      <c r="U123" s="5"/>
      <c r="V123" s="5"/>
      <c r="W123" s="5"/>
      <c r="X123" s="5"/>
      <c r="Y123" s="5"/>
    </row>
    <row r="124" ht="15.75" customHeight="1">
      <c r="A124" s="5"/>
      <c r="B124" s="5"/>
      <c r="C124" s="5"/>
      <c r="D124" s="5"/>
      <c r="E124" s="5"/>
      <c r="F124" s="5"/>
      <c r="G124" s="112"/>
      <c r="H124" s="112"/>
      <c r="I124" s="112"/>
      <c r="J124" s="112"/>
      <c r="K124" s="112"/>
      <c r="L124" s="5"/>
      <c r="M124" s="5"/>
      <c r="N124" s="5"/>
      <c r="O124" s="5"/>
      <c r="P124" s="5"/>
      <c r="Q124" s="5"/>
      <c r="R124" s="5"/>
      <c r="S124" s="5"/>
      <c r="T124" s="5"/>
      <c r="U124" s="5"/>
      <c r="V124" s="5"/>
      <c r="W124" s="5"/>
      <c r="X124" s="5"/>
      <c r="Y124" s="5"/>
    </row>
    <row r="125" ht="15.75" customHeight="1">
      <c r="A125" s="5"/>
      <c r="B125" s="5"/>
      <c r="C125" s="5"/>
      <c r="D125" s="5"/>
      <c r="E125" s="5"/>
      <c r="F125" s="5"/>
      <c r="G125" s="112"/>
      <c r="H125" s="112"/>
      <c r="I125" s="112"/>
      <c r="J125" s="112"/>
      <c r="K125" s="112"/>
      <c r="L125" s="5"/>
      <c r="M125" s="5"/>
      <c r="N125" s="5"/>
      <c r="O125" s="5"/>
      <c r="P125" s="5"/>
      <c r="Q125" s="5"/>
      <c r="R125" s="5"/>
      <c r="S125" s="5"/>
      <c r="T125" s="5"/>
      <c r="U125" s="5"/>
      <c r="V125" s="5"/>
      <c r="W125" s="5"/>
      <c r="X125" s="5"/>
      <c r="Y125" s="5"/>
    </row>
    <row r="126" ht="15.75" customHeight="1">
      <c r="A126" s="5"/>
      <c r="B126" s="5"/>
      <c r="C126" s="5"/>
      <c r="D126" s="5"/>
      <c r="E126" s="5"/>
      <c r="F126" s="5"/>
      <c r="G126" s="112"/>
      <c r="H126" s="112"/>
      <c r="I126" s="112"/>
      <c r="J126" s="112"/>
      <c r="K126" s="112"/>
      <c r="L126" s="5"/>
      <c r="M126" s="5"/>
      <c r="N126" s="5"/>
      <c r="O126" s="5"/>
      <c r="P126" s="5"/>
      <c r="Q126" s="5"/>
      <c r="R126" s="5"/>
      <c r="S126" s="5"/>
      <c r="T126" s="5"/>
      <c r="U126" s="5"/>
      <c r="V126" s="5"/>
      <c r="W126" s="5"/>
      <c r="X126" s="5"/>
      <c r="Y126" s="5"/>
    </row>
    <row r="127" ht="15.75" customHeight="1">
      <c r="A127" s="5"/>
      <c r="B127" s="5"/>
      <c r="C127" s="5"/>
      <c r="D127" s="5"/>
      <c r="E127" s="5"/>
      <c r="F127" s="5"/>
      <c r="G127" s="112"/>
      <c r="H127" s="112"/>
      <c r="I127" s="112"/>
      <c r="J127" s="112"/>
      <c r="K127" s="112"/>
      <c r="L127" s="5"/>
      <c r="M127" s="5"/>
      <c r="N127" s="5"/>
      <c r="O127" s="5"/>
      <c r="P127" s="5"/>
      <c r="Q127" s="5"/>
      <c r="R127" s="5"/>
      <c r="S127" s="5"/>
      <c r="T127" s="5"/>
      <c r="U127" s="5"/>
      <c r="V127" s="5"/>
      <c r="W127" s="5"/>
      <c r="X127" s="5"/>
      <c r="Y127" s="5"/>
    </row>
    <row r="128" ht="15.75" customHeight="1">
      <c r="A128" s="5"/>
      <c r="B128" s="5"/>
      <c r="C128" s="5"/>
      <c r="D128" s="5"/>
      <c r="E128" s="5"/>
      <c r="F128" s="5"/>
      <c r="G128" s="112"/>
      <c r="H128" s="112"/>
      <c r="I128" s="112"/>
      <c r="J128" s="112"/>
      <c r="K128" s="112"/>
      <c r="L128" s="5"/>
      <c r="M128" s="5"/>
      <c r="N128" s="5"/>
      <c r="O128" s="5"/>
      <c r="P128" s="5"/>
      <c r="Q128" s="5"/>
      <c r="R128" s="5"/>
      <c r="S128" s="5"/>
      <c r="T128" s="5"/>
      <c r="U128" s="5"/>
      <c r="V128" s="5"/>
      <c r="W128" s="5"/>
      <c r="X128" s="5"/>
      <c r="Y128" s="5"/>
    </row>
    <row r="129" ht="15.75" customHeight="1">
      <c r="A129" s="5"/>
      <c r="B129" s="5"/>
      <c r="C129" s="5"/>
      <c r="D129" s="5"/>
      <c r="E129" s="5"/>
      <c r="F129" s="5"/>
      <c r="G129" s="112"/>
      <c r="H129" s="112"/>
      <c r="I129" s="112"/>
      <c r="J129" s="112"/>
      <c r="K129" s="112"/>
      <c r="L129" s="5"/>
      <c r="M129" s="5"/>
      <c r="N129" s="5"/>
      <c r="O129" s="5"/>
      <c r="P129" s="5"/>
      <c r="Q129" s="5"/>
      <c r="R129" s="5"/>
      <c r="S129" s="5"/>
      <c r="T129" s="5"/>
      <c r="U129" s="5"/>
      <c r="V129" s="5"/>
      <c r="W129" s="5"/>
      <c r="X129" s="5"/>
      <c r="Y129" s="5"/>
    </row>
    <row r="130" ht="15.75" customHeight="1">
      <c r="A130" s="5"/>
      <c r="B130" s="5"/>
      <c r="C130" s="5"/>
      <c r="D130" s="5"/>
      <c r="E130" s="5"/>
      <c r="F130" s="5"/>
      <c r="G130" s="112"/>
      <c r="H130" s="112"/>
      <c r="I130" s="112"/>
      <c r="J130" s="112"/>
      <c r="K130" s="112"/>
      <c r="L130" s="5"/>
      <c r="M130" s="5"/>
      <c r="N130" s="5"/>
      <c r="O130" s="5"/>
      <c r="P130" s="5"/>
      <c r="Q130" s="5"/>
      <c r="R130" s="5"/>
      <c r="S130" s="5"/>
      <c r="T130" s="5"/>
      <c r="U130" s="5"/>
      <c r="V130" s="5"/>
      <c r="W130" s="5"/>
      <c r="X130" s="5"/>
      <c r="Y130" s="5"/>
    </row>
    <row r="131" ht="15.75" customHeight="1">
      <c r="A131" s="5"/>
      <c r="B131" s="5"/>
      <c r="C131" s="5"/>
      <c r="D131" s="5"/>
      <c r="E131" s="5"/>
      <c r="F131" s="5"/>
      <c r="G131" s="112"/>
      <c r="H131" s="112"/>
      <c r="I131" s="112"/>
      <c r="J131" s="112"/>
      <c r="K131" s="112"/>
      <c r="L131" s="5"/>
      <c r="M131" s="5"/>
      <c r="N131" s="5"/>
      <c r="O131" s="5"/>
      <c r="P131" s="5"/>
      <c r="Q131" s="5"/>
      <c r="R131" s="5"/>
      <c r="S131" s="5"/>
      <c r="T131" s="5"/>
      <c r="U131" s="5"/>
      <c r="V131" s="5"/>
      <c r="W131" s="5"/>
      <c r="X131" s="5"/>
      <c r="Y131" s="5"/>
    </row>
    <row r="132" ht="15.75" customHeight="1">
      <c r="A132" s="5"/>
      <c r="B132" s="5"/>
      <c r="C132" s="5"/>
      <c r="D132" s="5"/>
      <c r="E132" s="5"/>
      <c r="F132" s="5"/>
      <c r="G132" s="112"/>
      <c r="H132" s="112"/>
      <c r="I132" s="112"/>
      <c r="J132" s="112"/>
      <c r="K132" s="112"/>
      <c r="L132" s="5"/>
      <c r="M132" s="5"/>
      <c r="N132" s="5"/>
      <c r="O132" s="5"/>
      <c r="P132" s="5"/>
      <c r="Q132" s="5"/>
      <c r="R132" s="5"/>
      <c r="S132" s="5"/>
      <c r="T132" s="5"/>
      <c r="U132" s="5"/>
      <c r="V132" s="5"/>
      <c r="W132" s="5"/>
      <c r="X132" s="5"/>
      <c r="Y132" s="5"/>
    </row>
    <row r="133" ht="15.75" customHeight="1">
      <c r="A133" s="5"/>
      <c r="B133" s="5"/>
      <c r="C133" s="5"/>
      <c r="D133" s="5"/>
      <c r="E133" s="5"/>
      <c r="F133" s="5"/>
      <c r="G133" s="112"/>
      <c r="H133" s="112"/>
      <c r="I133" s="112"/>
      <c r="J133" s="112"/>
      <c r="K133" s="112"/>
      <c r="L133" s="5"/>
      <c r="M133" s="5"/>
      <c r="N133" s="5"/>
      <c r="O133" s="5"/>
      <c r="P133" s="5"/>
      <c r="Q133" s="5"/>
      <c r="R133" s="5"/>
      <c r="S133" s="5"/>
      <c r="T133" s="5"/>
      <c r="U133" s="5"/>
      <c r="V133" s="5"/>
      <c r="W133" s="5"/>
      <c r="X133" s="5"/>
      <c r="Y133" s="5"/>
    </row>
    <row r="134" ht="15.75" customHeight="1">
      <c r="A134" s="5"/>
      <c r="B134" s="5"/>
      <c r="C134" s="5"/>
      <c r="D134" s="5"/>
      <c r="E134" s="5"/>
      <c r="F134" s="5"/>
      <c r="G134" s="112"/>
      <c r="H134" s="112"/>
      <c r="I134" s="112"/>
      <c r="J134" s="112"/>
      <c r="K134" s="112"/>
      <c r="L134" s="5"/>
      <c r="M134" s="5"/>
      <c r="N134" s="5"/>
      <c r="O134" s="5"/>
      <c r="P134" s="5"/>
      <c r="Q134" s="5"/>
      <c r="R134" s="5"/>
      <c r="S134" s="5"/>
      <c r="T134" s="5"/>
      <c r="U134" s="5"/>
      <c r="V134" s="5"/>
      <c r="W134" s="5"/>
      <c r="X134" s="5"/>
      <c r="Y134" s="5"/>
    </row>
    <row r="135" ht="15.75" customHeight="1">
      <c r="A135" s="5"/>
      <c r="B135" s="5"/>
      <c r="C135" s="5"/>
      <c r="D135" s="5"/>
      <c r="E135" s="5"/>
      <c r="F135" s="5"/>
      <c r="G135" s="112"/>
      <c r="H135" s="112"/>
      <c r="I135" s="112"/>
      <c r="J135" s="112"/>
      <c r="K135" s="112"/>
      <c r="L135" s="5"/>
      <c r="M135" s="5"/>
      <c r="N135" s="5"/>
      <c r="O135" s="5"/>
      <c r="P135" s="5"/>
      <c r="Q135" s="5"/>
      <c r="R135" s="5"/>
      <c r="S135" s="5"/>
      <c r="T135" s="5"/>
      <c r="U135" s="5"/>
      <c r="V135" s="5"/>
      <c r="W135" s="5"/>
      <c r="X135" s="5"/>
      <c r="Y135" s="5"/>
    </row>
    <row r="136" ht="15.75" customHeight="1">
      <c r="A136" s="5"/>
      <c r="B136" s="5"/>
      <c r="C136" s="5"/>
      <c r="D136" s="5"/>
      <c r="E136" s="5"/>
      <c r="F136" s="5"/>
      <c r="G136" s="112"/>
      <c r="H136" s="112"/>
      <c r="I136" s="112"/>
      <c r="J136" s="112"/>
      <c r="K136" s="112"/>
      <c r="L136" s="5"/>
      <c r="M136" s="5"/>
      <c r="N136" s="5"/>
      <c r="O136" s="5"/>
      <c r="P136" s="5"/>
      <c r="Q136" s="5"/>
      <c r="R136" s="5"/>
      <c r="S136" s="5"/>
      <c r="T136" s="5"/>
      <c r="U136" s="5"/>
      <c r="V136" s="5"/>
      <c r="W136" s="5"/>
      <c r="X136" s="5"/>
      <c r="Y136" s="5"/>
    </row>
    <row r="137" ht="15.75" customHeight="1">
      <c r="A137" s="5"/>
      <c r="B137" s="5"/>
      <c r="C137" s="5"/>
      <c r="D137" s="5"/>
      <c r="E137" s="5"/>
      <c r="F137" s="5"/>
      <c r="G137" s="112"/>
      <c r="H137" s="112"/>
      <c r="I137" s="112"/>
      <c r="J137" s="112"/>
      <c r="K137" s="112"/>
      <c r="L137" s="5"/>
      <c r="M137" s="5"/>
      <c r="N137" s="5"/>
      <c r="O137" s="5"/>
      <c r="P137" s="5"/>
      <c r="Q137" s="5"/>
      <c r="R137" s="5"/>
      <c r="S137" s="5"/>
      <c r="T137" s="5"/>
      <c r="U137" s="5"/>
      <c r="V137" s="5"/>
      <c r="W137" s="5"/>
      <c r="X137" s="5"/>
      <c r="Y137" s="5"/>
    </row>
    <row r="138" ht="15.75" customHeight="1">
      <c r="A138" s="5"/>
      <c r="B138" s="5"/>
      <c r="C138" s="5"/>
      <c r="D138" s="5"/>
      <c r="E138" s="5"/>
      <c r="F138" s="5"/>
      <c r="G138" s="112"/>
      <c r="H138" s="112"/>
      <c r="I138" s="112"/>
      <c r="J138" s="112"/>
      <c r="K138" s="112"/>
      <c r="L138" s="5"/>
      <c r="M138" s="5"/>
      <c r="N138" s="5"/>
      <c r="O138" s="5"/>
      <c r="P138" s="5"/>
      <c r="Q138" s="5"/>
      <c r="R138" s="5"/>
      <c r="S138" s="5"/>
      <c r="T138" s="5"/>
      <c r="U138" s="5"/>
      <c r="V138" s="5"/>
      <c r="W138" s="5"/>
      <c r="X138" s="5"/>
      <c r="Y138" s="5"/>
    </row>
    <row r="139" ht="15.75" customHeight="1">
      <c r="A139" s="5"/>
      <c r="B139" s="5"/>
      <c r="C139" s="5"/>
      <c r="D139" s="5"/>
      <c r="E139" s="5"/>
      <c r="F139" s="5"/>
      <c r="G139" s="112"/>
      <c r="H139" s="112"/>
      <c r="I139" s="112"/>
      <c r="J139" s="112"/>
      <c r="K139" s="112"/>
      <c r="L139" s="5"/>
      <c r="M139" s="5"/>
      <c r="N139" s="5"/>
      <c r="O139" s="5"/>
      <c r="P139" s="5"/>
      <c r="Q139" s="5"/>
      <c r="R139" s="5"/>
      <c r="S139" s="5"/>
      <c r="T139" s="5"/>
      <c r="U139" s="5"/>
      <c r="V139" s="5"/>
      <c r="W139" s="5"/>
      <c r="X139" s="5"/>
      <c r="Y139" s="5"/>
    </row>
    <row r="140" ht="15.75" customHeight="1">
      <c r="A140" s="5"/>
      <c r="B140" s="5"/>
      <c r="C140" s="5"/>
      <c r="D140" s="5"/>
      <c r="E140" s="5"/>
      <c r="F140" s="5"/>
      <c r="G140" s="112"/>
      <c r="H140" s="112"/>
      <c r="I140" s="112"/>
      <c r="J140" s="112"/>
      <c r="K140" s="112"/>
      <c r="L140" s="5"/>
      <c r="M140" s="5"/>
      <c r="N140" s="5"/>
      <c r="O140" s="5"/>
      <c r="P140" s="5"/>
      <c r="Q140" s="5"/>
      <c r="R140" s="5"/>
      <c r="S140" s="5"/>
      <c r="T140" s="5"/>
      <c r="U140" s="5"/>
      <c r="V140" s="5"/>
      <c r="W140" s="5"/>
      <c r="X140" s="5"/>
      <c r="Y140" s="5"/>
    </row>
    <row r="141" ht="15.75" customHeight="1">
      <c r="A141" s="5"/>
      <c r="B141" s="5"/>
      <c r="C141" s="5"/>
      <c r="D141" s="5"/>
      <c r="E141" s="5"/>
      <c r="F141" s="5"/>
      <c r="G141" s="112"/>
      <c r="H141" s="112"/>
      <c r="I141" s="112"/>
      <c r="J141" s="112"/>
      <c r="K141" s="112"/>
      <c r="L141" s="5"/>
      <c r="M141" s="5"/>
      <c r="N141" s="5"/>
      <c r="O141" s="5"/>
      <c r="P141" s="5"/>
      <c r="Q141" s="5"/>
      <c r="R141" s="5"/>
      <c r="S141" s="5"/>
      <c r="T141" s="5"/>
      <c r="U141" s="5"/>
      <c r="V141" s="5"/>
      <c r="W141" s="5"/>
      <c r="X141" s="5"/>
      <c r="Y141" s="5"/>
    </row>
    <row r="142" ht="15.75" customHeight="1">
      <c r="A142" s="5"/>
      <c r="B142" s="5"/>
      <c r="C142" s="5"/>
      <c r="D142" s="5"/>
      <c r="E142" s="5"/>
      <c r="F142" s="5"/>
      <c r="G142" s="112"/>
      <c r="H142" s="112"/>
      <c r="I142" s="112"/>
      <c r="J142" s="112"/>
      <c r="K142" s="112"/>
      <c r="L142" s="5"/>
      <c r="M142" s="5"/>
      <c r="N142" s="5"/>
      <c r="O142" s="5"/>
      <c r="P142" s="5"/>
      <c r="Q142" s="5"/>
      <c r="R142" s="5"/>
      <c r="S142" s="5"/>
      <c r="T142" s="5"/>
      <c r="U142" s="5"/>
      <c r="V142" s="5"/>
      <c r="W142" s="5"/>
      <c r="X142" s="5"/>
      <c r="Y142" s="5"/>
    </row>
    <row r="143" ht="15.75" customHeight="1">
      <c r="A143" s="5"/>
      <c r="B143" s="5"/>
      <c r="C143" s="5"/>
      <c r="D143" s="5"/>
      <c r="E143" s="5"/>
      <c r="F143" s="5"/>
      <c r="G143" s="112"/>
      <c r="H143" s="112"/>
      <c r="I143" s="112"/>
      <c r="J143" s="112"/>
      <c r="K143" s="112"/>
      <c r="L143" s="5"/>
      <c r="M143" s="5"/>
      <c r="N143" s="5"/>
      <c r="O143" s="5"/>
      <c r="P143" s="5"/>
      <c r="Q143" s="5"/>
      <c r="R143" s="5"/>
      <c r="S143" s="5"/>
      <c r="T143" s="5"/>
      <c r="U143" s="5"/>
      <c r="V143" s="5"/>
      <c r="W143" s="5"/>
      <c r="X143" s="5"/>
      <c r="Y143" s="5"/>
    </row>
    <row r="144" ht="15.75" customHeight="1">
      <c r="A144" s="5"/>
      <c r="B144" s="5"/>
      <c r="C144" s="5"/>
      <c r="D144" s="5"/>
      <c r="E144" s="5"/>
      <c r="F144" s="5"/>
      <c r="G144" s="112"/>
      <c r="H144" s="112"/>
      <c r="I144" s="112"/>
      <c r="J144" s="112"/>
      <c r="K144" s="112"/>
      <c r="L144" s="5"/>
      <c r="M144" s="5"/>
      <c r="N144" s="5"/>
      <c r="O144" s="5"/>
      <c r="P144" s="5"/>
      <c r="Q144" s="5"/>
      <c r="R144" s="5"/>
      <c r="S144" s="5"/>
      <c r="T144" s="5"/>
      <c r="U144" s="5"/>
      <c r="V144" s="5"/>
      <c r="W144" s="5"/>
      <c r="X144" s="5"/>
      <c r="Y144" s="5"/>
    </row>
    <row r="145" ht="15.75" customHeight="1">
      <c r="A145" s="5"/>
      <c r="B145" s="5"/>
      <c r="C145" s="5"/>
      <c r="D145" s="5"/>
      <c r="E145" s="5"/>
      <c r="F145" s="5"/>
      <c r="G145" s="112"/>
      <c r="H145" s="112"/>
      <c r="I145" s="112"/>
      <c r="J145" s="112"/>
      <c r="K145" s="112"/>
      <c r="L145" s="5"/>
      <c r="M145" s="5"/>
      <c r="N145" s="5"/>
      <c r="O145" s="5"/>
      <c r="P145" s="5"/>
      <c r="Q145" s="5"/>
      <c r="R145" s="5"/>
      <c r="S145" s="5"/>
      <c r="T145" s="5"/>
      <c r="U145" s="5"/>
      <c r="V145" s="5"/>
      <c r="W145" s="5"/>
      <c r="X145" s="5"/>
      <c r="Y145" s="5"/>
    </row>
    <row r="146" ht="15.75" customHeight="1">
      <c r="A146" s="5"/>
      <c r="B146" s="5"/>
      <c r="C146" s="5"/>
      <c r="D146" s="5"/>
      <c r="E146" s="5"/>
      <c r="F146" s="5"/>
      <c r="G146" s="112"/>
      <c r="H146" s="112"/>
      <c r="I146" s="112"/>
      <c r="J146" s="112"/>
      <c r="K146" s="112"/>
      <c r="L146" s="5"/>
      <c r="M146" s="5"/>
      <c r="N146" s="5"/>
      <c r="O146" s="5"/>
      <c r="P146" s="5"/>
      <c r="Q146" s="5"/>
      <c r="R146" s="5"/>
      <c r="S146" s="5"/>
      <c r="T146" s="5"/>
      <c r="U146" s="5"/>
      <c r="V146" s="5"/>
      <c r="W146" s="5"/>
      <c r="X146" s="5"/>
      <c r="Y146" s="5"/>
    </row>
    <row r="147" ht="15.75" customHeight="1">
      <c r="A147" s="5"/>
      <c r="B147" s="5"/>
      <c r="C147" s="5"/>
      <c r="D147" s="5"/>
      <c r="E147" s="5"/>
      <c r="F147" s="5"/>
      <c r="G147" s="112"/>
      <c r="H147" s="112"/>
      <c r="I147" s="112"/>
      <c r="J147" s="112"/>
      <c r="K147" s="112"/>
      <c r="L147" s="5"/>
      <c r="M147" s="5"/>
      <c r="N147" s="5"/>
      <c r="O147" s="5"/>
      <c r="P147" s="5"/>
      <c r="Q147" s="5"/>
      <c r="R147" s="5"/>
      <c r="S147" s="5"/>
      <c r="T147" s="5"/>
      <c r="U147" s="5"/>
      <c r="V147" s="5"/>
      <c r="W147" s="5"/>
      <c r="X147" s="5"/>
      <c r="Y147" s="5"/>
    </row>
    <row r="148" ht="15.75" customHeight="1">
      <c r="A148" s="5"/>
      <c r="B148" s="5"/>
      <c r="C148" s="5"/>
      <c r="D148" s="5"/>
      <c r="E148" s="5"/>
      <c r="F148" s="5"/>
      <c r="G148" s="112"/>
      <c r="H148" s="112"/>
      <c r="I148" s="112"/>
      <c r="J148" s="112"/>
      <c r="K148" s="112"/>
      <c r="L148" s="5"/>
      <c r="M148" s="5"/>
      <c r="N148" s="5"/>
      <c r="O148" s="5"/>
      <c r="P148" s="5"/>
      <c r="Q148" s="5"/>
      <c r="R148" s="5"/>
      <c r="S148" s="5"/>
      <c r="T148" s="5"/>
      <c r="U148" s="5"/>
      <c r="V148" s="5"/>
      <c r="W148" s="5"/>
      <c r="X148" s="5"/>
      <c r="Y148" s="5"/>
    </row>
    <row r="149" ht="15.75" customHeight="1">
      <c r="A149" s="5"/>
      <c r="B149" s="5"/>
      <c r="C149" s="5"/>
      <c r="D149" s="5"/>
      <c r="E149" s="5"/>
      <c r="F149" s="5"/>
      <c r="G149" s="112"/>
      <c r="H149" s="112"/>
      <c r="I149" s="112"/>
      <c r="J149" s="112"/>
      <c r="K149" s="112"/>
      <c r="L149" s="5"/>
      <c r="M149" s="5"/>
      <c r="N149" s="5"/>
      <c r="O149" s="5"/>
      <c r="P149" s="5"/>
      <c r="Q149" s="5"/>
      <c r="R149" s="5"/>
      <c r="S149" s="5"/>
      <c r="T149" s="5"/>
      <c r="U149" s="5"/>
      <c r="V149" s="5"/>
      <c r="W149" s="5"/>
      <c r="X149" s="5"/>
      <c r="Y149" s="5"/>
    </row>
    <row r="150" ht="15.75" customHeight="1">
      <c r="A150" s="5"/>
      <c r="B150" s="5"/>
      <c r="C150" s="5"/>
      <c r="D150" s="5"/>
      <c r="E150" s="5"/>
      <c r="F150" s="5"/>
      <c r="G150" s="112"/>
      <c r="H150" s="112"/>
      <c r="I150" s="112"/>
      <c r="J150" s="112"/>
      <c r="K150" s="112"/>
      <c r="L150" s="5"/>
      <c r="M150" s="5"/>
      <c r="N150" s="5"/>
      <c r="O150" s="5"/>
      <c r="P150" s="5"/>
      <c r="Q150" s="5"/>
      <c r="R150" s="5"/>
      <c r="S150" s="5"/>
      <c r="T150" s="5"/>
      <c r="U150" s="5"/>
      <c r="V150" s="5"/>
      <c r="W150" s="5"/>
      <c r="X150" s="5"/>
      <c r="Y150" s="5"/>
    </row>
    <row r="151" ht="15.75" customHeight="1">
      <c r="A151" s="5"/>
      <c r="B151" s="5"/>
      <c r="C151" s="5"/>
      <c r="D151" s="5"/>
      <c r="E151" s="5"/>
      <c r="F151" s="5"/>
      <c r="G151" s="112"/>
      <c r="H151" s="112"/>
      <c r="I151" s="112"/>
      <c r="J151" s="112"/>
      <c r="K151" s="112"/>
      <c r="L151" s="5"/>
      <c r="M151" s="5"/>
      <c r="N151" s="5"/>
      <c r="O151" s="5"/>
      <c r="P151" s="5"/>
      <c r="Q151" s="5"/>
      <c r="R151" s="5"/>
      <c r="S151" s="5"/>
      <c r="T151" s="5"/>
      <c r="U151" s="5"/>
      <c r="V151" s="5"/>
      <c r="W151" s="5"/>
      <c r="X151" s="5"/>
      <c r="Y151" s="5"/>
    </row>
    <row r="152" ht="15.75" customHeight="1">
      <c r="A152" s="5"/>
      <c r="B152" s="5"/>
      <c r="C152" s="5"/>
      <c r="D152" s="5"/>
      <c r="E152" s="5"/>
      <c r="F152" s="5"/>
      <c r="G152" s="112"/>
      <c r="H152" s="112"/>
      <c r="I152" s="112"/>
      <c r="J152" s="112"/>
      <c r="K152" s="112"/>
      <c r="L152" s="5"/>
      <c r="M152" s="5"/>
      <c r="N152" s="5"/>
      <c r="O152" s="5"/>
      <c r="P152" s="5"/>
      <c r="Q152" s="5"/>
      <c r="R152" s="5"/>
      <c r="S152" s="5"/>
      <c r="T152" s="5"/>
      <c r="U152" s="5"/>
      <c r="V152" s="5"/>
      <c r="W152" s="5"/>
      <c r="X152" s="5"/>
      <c r="Y152" s="5"/>
    </row>
    <row r="153" ht="15.75" customHeight="1">
      <c r="A153" s="5"/>
      <c r="B153" s="5"/>
      <c r="C153" s="5"/>
      <c r="D153" s="5"/>
      <c r="E153" s="5"/>
      <c r="F153" s="5"/>
      <c r="G153" s="112"/>
      <c r="H153" s="112"/>
      <c r="I153" s="112"/>
      <c r="J153" s="112"/>
      <c r="K153" s="112"/>
      <c r="L153" s="5"/>
      <c r="M153" s="5"/>
      <c r="N153" s="5"/>
      <c r="O153" s="5"/>
      <c r="P153" s="5"/>
      <c r="Q153" s="5"/>
      <c r="R153" s="5"/>
      <c r="S153" s="5"/>
      <c r="T153" s="5"/>
      <c r="U153" s="5"/>
      <c r="V153" s="5"/>
      <c r="W153" s="5"/>
      <c r="X153" s="5"/>
      <c r="Y153" s="5"/>
    </row>
    <row r="154" ht="15.75" customHeight="1">
      <c r="A154" s="5"/>
      <c r="B154" s="5"/>
      <c r="C154" s="5"/>
      <c r="D154" s="5"/>
      <c r="E154" s="5"/>
      <c r="F154" s="5"/>
      <c r="G154" s="112"/>
      <c r="H154" s="112"/>
      <c r="I154" s="112"/>
      <c r="J154" s="112"/>
      <c r="K154" s="112"/>
      <c r="L154" s="5"/>
      <c r="M154" s="5"/>
      <c r="N154" s="5"/>
      <c r="O154" s="5"/>
      <c r="P154" s="5"/>
      <c r="Q154" s="5"/>
      <c r="R154" s="5"/>
      <c r="S154" s="5"/>
      <c r="T154" s="5"/>
      <c r="U154" s="5"/>
      <c r="V154" s="5"/>
      <c r="W154" s="5"/>
      <c r="X154" s="5"/>
      <c r="Y154" s="5"/>
    </row>
    <row r="155" ht="15.75" customHeight="1">
      <c r="A155" s="5"/>
      <c r="B155" s="5"/>
      <c r="C155" s="5"/>
      <c r="D155" s="5"/>
      <c r="E155" s="5"/>
      <c r="F155" s="5"/>
      <c r="G155" s="112"/>
      <c r="H155" s="112"/>
      <c r="I155" s="112"/>
      <c r="J155" s="112"/>
      <c r="K155" s="112"/>
      <c r="L155" s="5"/>
      <c r="M155" s="5"/>
      <c r="N155" s="5"/>
      <c r="O155" s="5"/>
      <c r="P155" s="5"/>
      <c r="Q155" s="5"/>
      <c r="R155" s="5"/>
      <c r="S155" s="5"/>
      <c r="T155" s="5"/>
      <c r="U155" s="5"/>
      <c r="V155" s="5"/>
      <c r="W155" s="5"/>
      <c r="X155" s="5"/>
      <c r="Y155" s="5"/>
    </row>
    <row r="156" ht="15.75" customHeight="1">
      <c r="A156" s="5"/>
      <c r="B156" s="5"/>
      <c r="C156" s="5"/>
      <c r="D156" s="5"/>
      <c r="E156" s="5"/>
      <c r="F156" s="5"/>
      <c r="G156" s="112"/>
      <c r="H156" s="112"/>
      <c r="I156" s="112"/>
      <c r="J156" s="112"/>
      <c r="K156" s="112"/>
      <c r="L156" s="5"/>
      <c r="M156" s="5"/>
      <c r="N156" s="5"/>
      <c r="O156" s="5"/>
      <c r="P156" s="5"/>
      <c r="Q156" s="5"/>
      <c r="R156" s="5"/>
      <c r="S156" s="5"/>
      <c r="T156" s="5"/>
      <c r="U156" s="5"/>
      <c r="V156" s="5"/>
      <c r="W156" s="5"/>
      <c r="X156" s="5"/>
      <c r="Y156" s="5"/>
    </row>
    <row r="157" ht="15.75" customHeight="1">
      <c r="A157" s="5"/>
      <c r="B157" s="5"/>
      <c r="C157" s="5"/>
      <c r="D157" s="5"/>
      <c r="E157" s="5"/>
      <c r="F157" s="5"/>
      <c r="G157" s="112"/>
      <c r="H157" s="112"/>
      <c r="I157" s="112"/>
      <c r="J157" s="112"/>
      <c r="K157" s="112"/>
      <c r="L157" s="5"/>
      <c r="M157" s="5"/>
      <c r="N157" s="5"/>
      <c r="O157" s="5"/>
      <c r="P157" s="5"/>
      <c r="Q157" s="5"/>
      <c r="R157" s="5"/>
      <c r="S157" s="5"/>
      <c r="T157" s="5"/>
      <c r="U157" s="5"/>
      <c r="V157" s="5"/>
      <c r="W157" s="5"/>
      <c r="X157" s="5"/>
      <c r="Y157" s="5"/>
    </row>
    <row r="158" ht="15.75" customHeight="1">
      <c r="A158" s="5"/>
      <c r="B158" s="5"/>
      <c r="C158" s="5"/>
      <c r="D158" s="5"/>
      <c r="E158" s="5"/>
      <c r="F158" s="5"/>
      <c r="G158" s="112"/>
      <c r="H158" s="112"/>
      <c r="I158" s="112"/>
      <c r="J158" s="112"/>
      <c r="K158" s="112"/>
      <c r="L158" s="5"/>
      <c r="M158" s="5"/>
      <c r="N158" s="5"/>
      <c r="O158" s="5"/>
      <c r="P158" s="5"/>
      <c r="Q158" s="5"/>
      <c r="R158" s="5"/>
      <c r="S158" s="5"/>
      <c r="T158" s="5"/>
      <c r="U158" s="5"/>
      <c r="V158" s="5"/>
      <c r="W158" s="5"/>
      <c r="X158" s="5"/>
      <c r="Y158" s="5"/>
    </row>
    <row r="159" ht="15.75" customHeight="1">
      <c r="A159" s="5"/>
      <c r="B159" s="5"/>
      <c r="C159" s="5"/>
      <c r="D159" s="5"/>
      <c r="E159" s="5"/>
      <c r="F159" s="5"/>
      <c r="G159" s="112"/>
      <c r="H159" s="112"/>
      <c r="I159" s="112"/>
      <c r="J159" s="112"/>
      <c r="K159" s="112"/>
      <c r="L159" s="5"/>
      <c r="M159" s="5"/>
      <c r="N159" s="5"/>
      <c r="O159" s="5"/>
      <c r="P159" s="5"/>
      <c r="Q159" s="5"/>
      <c r="R159" s="5"/>
      <c r="S159" s="5"/>
      <c r="T159" s="5"/>
      <c r="U159" s="5"/>
      <c r="V159" s="5"/>
      <c r="W159" s="5"/>
      <c r="X159" s="5"/>
      <c r="Y159" s="5"/>
    </row>
    <row r="160" ht="15.75" customHeight="1">
      <c r="A160" s="5"/>
      <c r="B160" s="5"/>
      <c r="C160" s="5"/>
      <c r="D160" s="5"/>
      <c r="E160" s="5"/>
      <c r="F160" s="5"/>
      <c r="G160" s="112"/>
      <c r="H160" s="112"/>
      <c r="I160" s="112"/>
      <c r="J160" s="112"/>
      <c r="K160" s="112"/>
      <c r="L160" s="5"/>
      <c r="M160" s="5"/>
      <c r="N160" s="5"/>
      <c r="O160" s="5"/>
      <c r="P160" s="5"/>
      <c r="Q160" s="5"/>
      <c r="R160" s="5"/>
      <c r="S160" s="5"/>
      <c r="T160" s="5"/>
      <c r="U160" s="5"/>
      <c r="V160" s="5"/>
      <c r="W160" s="5"/>
      <c r="X160" s="5"/>
      <c r="Y160" s="5"/>
    </row>
    <row r="161" ht="15.75" customHeight="1">
      <c r="A161" s="5"/>
      <c r="B161" s="5"/>
      <c r="C161" s="5"/>
      <c r="D161" s="5"/>
      <c r="E161" s="5"/>
      <c r="F161" s="5"/>
      <c r="G161" s="112"/>
      <c r="H161" s="112"/>
      <c r="I161" s="112"/>
      <c r="J161" s="112"/>
      <c r="K161" s="112"/>
      <c r="L161" s="5"/>
      <c r="M161" s="5"/>
      <c r="N161" s="5"/>
      <c r="O161" s="5"/>
      <c r="P161" s="5"/>
      <c r="Q161" s="5"/>
      <c r="R161" s="5"/>
      <c r="S161" s="5"/>
      <c r="T161" s="5"/>
      <c r="U161" s="5"/>
      <c r="V161" s="5"/>
      <c r="W161" s="5"/>
      <c r="X161" s="5"/>
      <c r="Y161" s="5"/>
    </row>
    <row r="162" ht="15.75" customHeight="1">
      <c r="A162" s="5"/>
      <c r="B162" s="5"/>
      <c r="C162" s="5"/>
      <c r="D162" s="5"/>
      <c r="E162" s="5"/>
      <c r="F162" s="5"/>
      <c r="G162" s="112"/>
      <c r="H162" s="112"/>
      <c r="I162" s="112"/>
      <c r="J162" s="112"/>
      <c r="K162" s="112"/>
      <c r="L162" s="5"/>
      <c r="M162" s="5"/>
      <c r="N162" s="5"/>
      <c r="O162" s="5"/>
      <c r="P162" s="5"/>
      <c r="Q162" s="5"/>
      <c r="R162" s="5"/>
      <c r="S162" s="5"/>
      <c r="T162" s="5"/>
      <c r="U162" s="5"/>
      <c r="V162" s="5"/>
      <c r="W162" s="5"/>
      <c r="X162" s="5"/>
      <c r="Y162" s="5"/>
    </row>
    <row r="163" ht="15.75" customHeight="1">
      <c r="A163" s="5"/>
      <c r="B163" s="5"/>
      <c r="C163" s="5"/>
      <c r="D163" s="5"/>
      <c r="E163" s="5"/>
      <c r="F163" s="5"/>
      <c r="G163" s="112"/>
      <c r="H163" s="112"/>
      <c r="I163" s="112"/>
      <c r="J163" s="112"/>
      <c r="K163" s="112"/>
      <c r="L163" s="5"/>
      <c r="M163" s="5"/>
      <c r="N163" s="5"/>
      <c r="O163" s="5"/>
      <c r="P163" s="5"/>
      <c r="Q163" s="5"/>
      <c r="R163" s="5"/>
      <c r="S163" s="5"/>
      <c r="T163" s="5"/>
      <c r="U163" s="5"/>
      <c r="V163" s="5"/>
      <c r="W163" s="5"/>
      <c r="X163" s="5"/>
      <c r="Y163" s="5"/>
    </row>
    <row r="164" ht="15.75" customHeight="1">
      <c r="A164" s="5"/>
      <c r="B164" s="5"/>
      <c r="C164" s="5"/>
      <c r="D164" s="5"/>
      <c r="E164" s="5"/>
      <c r="F164" s="5"/>
      <c r="G164" s="112"/>
      <c r="H164" s="112"/>
      <c r="I164" s="112"/>
      <c r="J164" s="112"/>
      <c r="K164" s="112"/>
      <c r="L164" s="5"/>
      <c r="M164" s="5"/>
      <c r="N164" s="5"/>
      <c r="O164" s="5"/>
      <c r="P164" s="5"/>
      <c r="Q164" s="5"/>
      <c r="R164" s="5"/>
      <c r="S164" s="5"/>
      <c r="T164" s="5"/>
      <c r="U164" s="5"/>
      <c r="V164" s="5"/>
      <c r="W164" s="5"/>
      <c r="X164" s="5"/>
      <c r="Y164" s="5"/>
    </row>
    <row r="165" ht="15.75" customHeight="1">
      <c r="A165" s="5"/>
      <c r="B165" s="5"/>
      <c r="C165" s="5"/>
      <c r="D165" s="5"/>
      <c r="E165" s="5"/>
      <c r="F165" s="5"/>
      <c r="G165" s="112"/>
      <c r="H165" s="112"/>
      <c r="I165" s="112"/>
      <c r="J165" s="112"/>
      <c r="K165" s="112"/>
      <c r="L165" s="5"/>
      <c r="M165" s="5"/>
      <c r="N165" s="5"/>
      <c r="O165" s="5"/>
      <c r="P165" s="5"/>
      <c r="Q165" s="5"/>
      <c r="R165" s="5"/>
      <c r="S165" s="5"/>
      <c r="T165" s="5"/>
      <c r="U165" s="5"/>
      <c r="V165" s="5"/>
      <c r="W165" s="5"/>
      <c r="X165" s="5"/>
      <c r="Y165" s="5"/>
    </row>
    <row r="166" ht="15.75" customHeight="1">
      <c r="A166" s="5"/>
      <c r="B166" s="5"/>
      <c r="C166" s="5"/>
      <c r="D166" s="5"/>
      <c r="E166" s="5"/>
      <c r="F166" s="5"/>
      <c r="G166" s="112"/>
      <c r="H166" s="112"/>
      <c r="I166" s="112"/>
      <c r="J166" s="112"/>
      <c r="K166" s="112"/>
      <c r="L166" s="5"/>
      <c r="M166" s="5"/>
      <c r="N166" s="5"/>
      <c r="O166" s="5"/>
      <c r="P166" s="5"/>
      <c r="Q166" s="5"/>
      <c r="R166" s="5"/>
      <c r="S166" s="5"/>
      <c r="T166" s="5"/>
      <c r="U166" s="5"/>
      <c r="V166" s="5"/>
      <c r="W166" s="5"/>
      <c r="X166" s="5"/>
      <c r="Y166" s="5"/>
    </row>
    <row r="167" ht="15.75" customHeight="1">
      <c r="A167" s="5"/>
      <c r="B167" s="5"/>
      <c r="C167" s="5"/>
      <c r="D167" s="5"/>
      <c r="E167" s="5"/>
      <c r="F167" s="5"/>
      <c r="G167" s="112"/>
      <c r="H167" s="112"/>
      <c r="I167" s="112"/>
      <c r="J167" s="112"/>
      <c r="K167" s="112"/>
      <c r="L167" s="5"/>
      <c r="M167" s="5"/>
      <c r="N167" s="5"/>
      <c r="O167" s="5"/>
      <c r="P167" s="5"/>
      <c r="Q167" s="5"/>
      <c r="R167" s="5"/>
      <c r="S167" s="5"/>
      <c r="T167" s="5"/>
      <c r="U167" s="5"/>
      <c r="V167" s="5"/>
      <c r="W167" s="5"/>
      <c r="X167" s="5"/>
      <c r="Y167" s="5"/>
    </row>
    <row r="168" ht="15.75" customHeight="1">
      <c r="A168" s="5"/>
      <c r="B168" s="5"/>
      <c r="C168" s="5"/>
      <c r="D168" s="5"/>
      <c r="E168" s="5"/>
      <c r="F168" s="5"/>
      <c r="G168" s="112"/>
      <c r="H168" s="112"/>
      <c r="I168" s="112"/>
      <c r="J168" s="112"/>
      <c r="K168" s="112"/>
      <c r="L168" s="5"/>
      <c r="M168" s="5"/>
      <c r="N168" s="5"/>
      <c r="O168" s="5"/>
      <c r="P168" s="5"/>
      <c r="Q168" s="5"/>
      <c r="R168" s="5"/>
      <c r="S168" s="5"/>
      <c r="T168" s="5"/>
      <c r="U168" s="5"/>
      <c r="V168" s="5"/>
      <c r="W168" s="5"/>
      <c r="X168" s="5"/>
      <c r="Y168" s="5"/>
    </row>
    <row r="169" ht="15.75" customHeight="1">
      <c r="A169" s="5"/>
      <c r="B169" s="5"/>
      <c r="C169" s="5"/>
      <c r="D169" s="5"/>
      <c r="E169" s="5"/>
      <c r="F169" s="5"/>
      <c r="G169" s="112"/>
      <c r="H169" s="112"/>
      <c r="I169" s="112"/>
      <c r="J169" s="112"/>
      <c r="K169" s="112"/>
      <c r="L169" s="5"/>
      <c r="M169" s="5"/>
      <c r="N169" s="5"/>
      <c r="O169" s="5"/>
      <c r="P169" s="5"/>
      <c r="Q169" s="5"/>
      <c r="R169" s="5"/>
      <c r="S169" s="5"/>
      <c r="T169" s="5"/>
      <c r="U169" s="5"/>
      <c r="V169" s="5"/>
      <c r="W169" s="5"/>
      <c r="X169" s="5"/>
      <c r="Y169" s="5"/>
    </row>
    <row r="170" ht="15.75" customHeight="1">
      <c r="A170" s="5"/>
      <c r="B170" s="5"/>
      <c r="C170" s="5"/>
      <c r="D170" s="5"/>
      <c r="E170" s="5"/>
      <c r="F170" s="5"/>
      <c r="G170" s="112"/>
      <c r="H170" s="112"/>
      <c r="I170" s="112"/>
      <c r="J170" s="112"/>
      <c r="K170" s="112"/>
      <c r="L170" s="5"/>
      <c r="M170" s="5"/>
      <c r="N170" s="5"/>
      <c r="O170" s="5"/>
      <c r="P170" s="5"/>
      <c r="Q170" s="5"/>
      <c r="R170" s="5"/>
      <c r="S170" s="5"/>
      <c r="T170" s="5"/>
      <c r="U170" s="5"/>
      <c r="V170" s="5"/>
      <c r="W170" s="5"/>
      <c r="X170" s="5"/>
      <c r="Y170" s="5"/>
    </row>
    <row r="171" ht="15.75" customHeight="1">
      <c r="A171" s="5"/>
      <c r="B171" s="5"/>
      <c r="C171" s="5"/>
      <c r="D171" s="5"/>
      <c r="E171" s="5"/>
      <c r="F171" s="5"/>
      <c r="G171" s="112"/>
      <c r="H171" s="112"/>
      <c r="I171" s="112"/>
      <c r="J171" s="112"/>
      <c r="K171" s="112"/>
      <c r="L171" s="5"/>
      <c r="M171" s="5"/>
      <c r="N171" s="5"/>
      <c r="O171" s="5"/>
      <c r="P171" s="5"/>
      <c r="Q171" s="5"/>
      <c r="R171" s="5"/>
      <c r="S171" s="5"/>
      <c r="T171" s="5"/>
      <c r="U171" s="5"/>
      <c r="V171" s="5"/>
      <c r="W171" s="5"/>
      <c r="X171" s="5"/>
      <c r="Y171" s="5"/>
    </row>
    <row r="172" ht="15.75" customHeight="1">
      <c r="A172" s="5"/>
      <c r="B172" s="5"/>
      <c r="C172" s="5"/>
      <c r="D172" s="5"/>
      <c r="E172" s="5"/>
      <c r="F172" s="5"/>
      <c r="G172" s="112"/>
      <c r="H172" s="112"/>
      <c r="I172" s="112"/>
      <c r="J172" s="112"/>
      <c r="K172" s="112"/>
      <c r="L172" s="5"/>
      <c r="M172" s="5"/>
      <c r="N172" s="5"/>
      <c r="O172" s="5"/>
      <c r="P172" s="5"/>
      <c r="Q172" s="5"/>
      <c r="R172" s="5"/>
      <c r="S172" s="5"/>
      <c r="T172" s="5"/>
      <c r="U172" s="5"/>
      <c r="V172" s="5"/>
      <c r="W172" s="5"/>
      <c r="X172" s="5"/>
      <c r="Y172" s="5"/>
    </row>
    <row r="173" ht="15.75" customHeight="1">
      <c r="A173" s="5"/>
      <c r="B173" s="5"/>
      <c r="C173" s="5"/>
      <c r="D173" s="5"/>
      <c r="E173" s="5"/>
      <c r="F173" s="5"/>
      <c r="G173" s="112"/>
      <c r="H173" s="112"/>
      <c r="I173" s="112"/>
      <c r="J173" s="112"/>
      <c r="K173" s="112"/>
      <c r="L173" s="5"/>
      <c r="M173" s="5"/>
      <c r="N173" s="5"/>
      <c r="O173" s="5"/>
      <c r="P173" s="5"/>
      <c r="Q173" s="5"/>
      <c r="R173" s="5"/>
      <c r="S173" s="5"/>
      <c r="T173" s="5"/>
      <c r="U173" s="5"/>
      <c r="V173" s="5"/>
      <c r="W173" s="5"/>
      <c r="X173" s="5"/>
      <c r="Y173" s="5"/>
    </row>
    <row r="174" ht="15.75" customHeight="1">
      <c r="A174" s="5"/>
      <c r="B174" s="5"/>
      <c r="C174" s="5"/>
      <c r="D174" s="5"/>
      <c r="E174" s="5"/>
      <c r="F174" s="5"/>
      <c r="G174" s="112"/>
      <c r="H174" s="112"/>
      <c r="I174" s="112"/>
      <c r="J174" s="112"/>
      <c r="K174" s="112"/>
      <c r="L174" s="5"/>
      <c r="M174" s="5"/>
      <c r="N174" s="5"/>
      <c r="O174" s="5"/>
      <c r="P174" s="5"/>
      <c r="Q174" s="5"/>
      <c r="R174" s="5"/>
      <c r="S174" s="5"/>
      <c r="T174" s="5"/>
      <c r="U174" s="5"/>
      <c r="V174" s="5"/>
      <c r="W174" s="5"/>
      <c r="X174" s="5"/>
      <c r="Y174" s="5"/>
    </row>
    <row r="175" ht="15.75" customHeight="1">
      <c r="A175" s="5"/>
      <c r="B175" s="5"/>
      <c r="C175" s="5"/>
      <c r="D175" s="5"/>
      <c r="E175" s="5"/>
      <c r="F175" s="5"/>
      <c r="G175" s="112"/>
      <c r="H175" s="112"/>
      <c r="I175" s="112"/>
      <c r="J175" s="112"/>
      <c r="K175" s="112"/>
      <c r="L175" s="5"/>
      <c r="M175" s="5"/>
      <c r="N175" s="5"/>
      <c r="O175" s="5"/>
      <c r="P175" s="5"/>
      <c r="Q175" s="5"/>
      <c r="R175" s="5"/>
      <c r="S175" s="5"/>
      <c r="T175" s="5"/>
      <c r="U175" s="5"/>
      <c r="V175" s="5"/>
      <c r="W175" s="5"/>
      <c r="X175" s="5"/>
      <c r="Y175" s="5"/>
    </row>
    <row r="176" ht="15.75" customHeight="1">
      <c r="A176" s="5"/>
      <c r="B176" s="5"/>
      <c r="C176" s="5"/>
      <c r="D176" s="5"/>
      <c r="E176" s="5"/>
      <c r="F176" s="5"/>
      <c r="G176" s="112"/>
      <c r="H176" s="112"/>
      <c r="I176" s="112"/>
      <c r="J176" s="112"/>
      <c r="K176" s="112"/>
      <c r="L176" s="5"/>
      <c r="M176" s="5"/>
      <c r="N176" s="5"/>
      <c r="O176" s="5"/>
      <c r="P176" s="5"/>
      <c r="Q176" s="5"/>
      <c r="R176" s="5"/>
      <c r="S176" s="5"/>
      <c r="T176" s="5"/>
      <c r="U176" s="5"/>
      <c r="V176" s="5"/>
      <c r="W176" s="5"/>
      <c r="X176" s="5"/>
      <c r="Y176" s="5"/>
    </row>
    <row r="177" ht="15.75" customHeight="1">
      <c r="A177" s="5"/>
      <c r="B177" s="5"/>
      <c r="C177" s="5"/>
      <c r="D177" s="5"/>
      <c r="E177" s="5"/>
      <c r="F177" s="5"/>
      <c r="G177" s="112"/>
      <c r="H177" s="112"/>
      <c r="I177" s="112"/>
      <c r="J177" s="112"/>
      <c r="K177" s="112"/>
      <c r="L177" s="5"/>
      <c r="M177" s="5"/>
      <c r="N177" s="5"/>
      <c r="O177" s="5"/>
      <c r="P177" s="5"/>
      <c r="Q177" s="5"/>
      <c r="R177" s="5"/>
      <c r="S177" s="5"/>
      <c r="T177" s="5"/>
      <c r="U177" s="5"/>
      <c r="V177" s="5"/>
      <c r="W177" s="5"/>
      <c r="X177" s="5"/>
      <c r="Y177" s="5"/>
    </row>
    <row r="178" ht="15.75" customHeight="1">
      <c r="A178" s="5"/>
      <c r="B178" s="5"/>
      <c r="C178" s="5"/>
      <c r="D178" s="5"/>
      <c r="E178" s="5"/>
      <c r="F178" s="5"/>
      <c r="G178" s="112"/>
      <c r="H178" s="112"/>
      <c r="I178" s="112"/>
      <c r="J178" s="112"/>
      <c r="K178" s="112"/>
      <c r="L178" s="5"/>
      <c r="M178" s="5"/>
      <c r="N178" s="5"/>
      <c r="O178" s="5"/>
      <c r="P178" s="5"/>
      <c r="Q178" s="5"/>
      <c r="R178" s="5"/>
      <c r="S178" s="5"/>
      <c r="T178" s="5"/>
      <c r="U178" s="5"/>
      <c r="V178" s="5"/>
      <c r="W178" s="5"/>
      <c r="X178" s="5"/>
      <c r="Y178" s="5"/>
    </row>
    <row r="179" ht="15.75" customHeight="1">
      <c r="A179" s="5"/>
      <c r="B179" s="5"/>
      <c r="C179" s="5"/>
      <c r="D179" s="5"/>
      <c r="E179" s="5"/>
      <c r="F179" s="5"/>
      <c r="G179" s="112"/>
      <c r="H179" s="112"/>
      <c r="I179" s="112"/>
      <c r="J179" s="112"/>
      <c r="K179" s="112"/>
      <c r="L179" s="5"/>
      <c r="M179" s="5"/>
      <c r="N179" s="5"/>
      <c r="O179" s="5"/>
      <c r="P179" s="5"/>
      <c r="Q179" s="5"/>
      <c r="R179" s="5"/>
      <c r="S179" s="5"/>
      <c r="T179" s="5"/>
      <c r="U179" s="5"/>
      <c r="V179" s="5"/>
      <c r="W179" s="5"/>
      <c r="X179" s="5"/>
      <c r="Y179" s="5"/>
    </row>
    <row r="180" ht="15.75" customHeight="1">
      <c r="A180" s="5"/>
      <c r="B180" s="5"/>
      <c r="C180" s="5"/>
      <c r="D180" s="5"/>
      <c r="E180" s="5"/>
      <c r="F180" s="5"/>
      <c r="G180" s="112"/>
      <c r="H180" s="112"/>
      <c r="I180" s="112"/>
      <c r="J180" s="112"/>
      <c r="K180" s="112"/>
      <c r="L180" s="5"/>
      <c r="M180" s="5"/>
      <c r="N180" s="5"/>
      <c r="O180" s="5"/>
      <c r="P180" s="5"/>
      <c r="Q180" s="5"/>
      <c r="R180" s="5"/>
      <c r="S180" s="5"/>
      <c r="T180" s="5"/>
      <c r="U180" s="5"/>
      <c r="V180" s="5"/>
      <c r="W180" s="5"/>
      <c r="X180" s="5"/>
      <c r="Y180" s="5"/>
    </row>
    <row r="181" ht="15.75" customHeight="1">
      <c r="A181" s="5"/>
      <c r="B181" s="5"/>
      <c r="C181" s="5"/>
      <c r="D181" s="5"/>
      <c r="E181" s="5"/>
      <c r="F181" s="5"/>
      <c r="G181" s="112"/>
      <c r="H181" s="112"/>
      <c r="I181" s="112"/>
      <c r="J181" s="112"/>
      <c r="K181" s="112"/>
      <c r="L181" s="5"/>
      <c r="M181" s="5"/>
      <c r="N181" s="5"/>
      <c r="O181" s="5"/>
      <c r="P181" s="5"/>
      <c r="Q181" s="5"/>
      <c r="R181" s="5"/>
      <c r="S181" s="5"/>
      <c r="T181" s="5"/>
      <c r="U181" s="5"/>
      <c r="V181" s="5"/>
      <c r="W181" s="5"/>
      <c r="X181" s="5"/>
      <c r="Y181" s="5"/>
    </row>
    <row r="182" ht="15.75" customHeight="1">
      <c r="A182" s="5"/>
      <c r="B182" s="5"/>
      <c r="C182" s="5"/>
      <c r="D182" s="5"/>
      <c r="E182" s="5"/>
      <c r="F182" s="5"/>
      <c r="G182" s="112"/>
      <c r="H182" s="112"/>
      <c r="I182" s="112"/>
      <c r="J182" s="112"/>
      <c r="K182" s="112"/>
      <c r="L182" s="5"/>
      <c r="M182" s="5"/>
      <c r="N182" s="5"/>
      <c r="O182" s="5"/>
      <c r="P182" s="5"/>
      <c r="Q182" s="5"/>
      <c r="R182" s="5"/>
      <c r="S182" s="5"/>
      <c r="T182" s="5"/>
      <c r="U182" s="5"/>
      <c r="V182" s="5"/>
      <c r="W182" s="5"/>
      <c r="X182" s="5"/>
      <c r="Y182" s="5"/>
    </row>
    <row r="183" ht="15.75" customHeight="1">
      <c r="A183" s="5"/>
      <c r="B183" s="5"/>
      <c r="C183" s="5"/>
      <c r="D183" s="5"/>
      <c r="E183" s="5"/>
      <c r="F183" s="5"/>
      <c r="G183" s="112"/>
      <c r="H183" s="112"/>
      <c r="I183" s="112"/>
      <c r="J183" s="112"/>
      <c r="K183" s="112"/>
      <c r="L183" s="5"/>
      <c r="M183" s="5"/>
      <c r="N183" s="5"/>
      <c r="O183" s="5"/>
      <c r="P183" s="5"/>
      <c r="Q183" s="5"/>
      <c r="R183" s="5"/>
      <c r="S183" s="5"/>
      <c r="T183" s="5"/>
      <c r="U183" s="5"/>
      <c r="V183" s="5"/>
      <c r="W183" s="5"/>
      <c r="X183" s="5"/>
      <c r="Y183" s="5"/>
    </row>
    <row r="184" ht="15.75" customHeight="1">
      <c r="A184" s="5"/>
      <c r="B184" s="5"/>
      <c r="C184" s="5"/>
      <c r="D184" s="5"/>
      <c r="E184" s="5"/>
      <c r="F184" s="5"/>
      <c r="G184" s="112"/>
      <c r="H184" s="112"/>
      <c r="I184" s="112"/>
      <c r="J184" s="112"/>
      <c r="K184" s="112"/>
      <c r="L184" s="5"/>
      <c r="M184" s="5"/>
      <c r="N184" s="5"/>
      <c r="O184" s="5"/>
      <c r="P184" s="5"/>
      <c r="Q184" s="5"/>
      <c r="R184" s="5"/>
      <c r="S184" s="5"/>
      <c r="T184" s="5"/>
      <c r="U184" s="5"/>
      <c r="V184" s="5"/>
      <c r="W184" s="5"/>
      <c r="X184" s="5"/>
      <c r="Y184" s="5"/>
    </row>
    <row r="185" ht="15.75" customHeight="1">
      <c r="A185" s="5"/>
      <c r="B185" s="5"/>
      <c r="C185" s="5"/>
      <c r="D185" s="5"/>
      <c r="E185" s="5"/>
      <c r="F185" s="5"/>
      <c r="G185" s="112"/>
      <c r="H185" s="112"/>
      <c r="I185" s="112"/>
      <c r="J185" s="112"/>
      <c r="K185" s="112"/>
      <c r="L185" s="5"/>
      <c r="M185" s="5"/>
      <c r="N185" s="5"/>
      <c r="O185" s="5"/>
      <c r="P185" s="5"/>
      <c r="Q185" s="5"/>
      <c r="R185" s="5"/>
      <c r="S185" s="5"/>
      <c r="T185" s="5"/>
      <c r="U185" s="5"/>
      <c r="V185" s="5"/>
      <c r="W185" s="5"/>
      <c r="X185" s="5"/>
      <c r="Y185" s="5"/>
    </row>
    <row r="186" ht="15.75" customHeight="1">
      <c r="A186" s="5"/>
      <c r="B186" s="5"/>
      <c r="C186" s="5"/>
      <c r="D186" s="5"/>
      <c r="E186" s="5"/>
      <c r="F186" s="5"/>
      <c r="G186" s="112"/>
      <c r="H186" s="112"/>
      <c r="I186" s="112"/>
      <c r="J186" s="112"/>
      <c r="K186" s="112"/>
      <c r="L186" s="5"/>
      <c r="M186" s="5"/>
      <c r="N186" s="5"/>
      <c r="O186" s="5"/>
      <c r="P186" s="5"/>
      <c r="Q186" s="5"/>
      <c r="R186" s="5"/>
      <c r="S186" s="5"/>
      <c r="T186" s="5"/>
      <c r="U186" s="5"/>
      <c r="V186" s="5"/>
      <c r="W186" s="5"/>
      <c r="X186" s="5"/>
      <c r="Y186" s="5"/>
    </row>
    <row r="187" ht="15.75" customHeight="1">
      <c r="A187" s="5"/>
      <c r="B187" s="5"/>
      <c r="C187" s="5"/>
      <c r="D187" s="5"/>
      <c r="E187" s="5"/>
      <c r="F187" s="5"/>
      <c r="G187" s="112"/>
      <c r="H187" s="112"/>
      <c r="I187" s="112"/>
      <c r="J187" s="112"/>
      <c r="K187" s="112"/>
      <c r="L187" s="5"/>
      <c r="M187" s="5"/>
      <c r="N187" s="5"/>
      <c r="O187" s="5"/>
      <c r="P187" s="5"/>
      <c r="Q187" s="5"/>
      <c r="R187" s="5"/>
      <c r="S187" s="5"/>
      <c r="T187" s="5"/>
      <c r="U187" s="5"/>
      <c r="V187" s="5"/>
      <c r="W187" s="5"/>
      <c r="X187" s="5"/>
      <c r="Y187" s="5"/>
    </row>
    <row r="188" ht="15.75" customHeight="1">
      <c r="A188" s="5"/>
      <c r="B188" s="5"/>
      <c r="C188" s="5"/>
      <c r="D188" s="5"/>
      <c r="E188" s="5"/>
      <c r="F188" s="5"/>
      <c r="G188" s="112"/>
      <c r="H188" s="112"/>
      <c r="I188" s="112"/>
      <c r="J188" s="112"/>
      <c r="K188" s="112"/>
      <c r="L188" s="5"/>
      <c r="M188" s="5"/>
      <c r="N188" s="5"/>
      <c r="O188" s="5"/>
      <c r="P188" s="5"/>
      <c r="Q188" s="5"/>
      <c r="R188" s="5"/>
      <c r="S188" s="5"/>
      <c r="T188" s="5"/>
      <c r="U188" s="5"/>
      <c r="V188" s="5"/>
      <c r="W188" s="5"/>
      <c r="X188" s="5"/>
      <c r="Y188" s="5"/>
    </row>
    <row r="189" ht="15.75" customHeight="1">
      <c r="A189" s="5"/>
      <c r="B189" s="5"/>
      <c r="C189" s="5"/>
      <c r="D189" s="5"/>
      <c r="E189" s="5"/>
      <c r="F189" s="5"/>
      <c r="G189" s="112"/>
      <c r="H189" s="112"/>
      <c r="I189" s="112"/>
      <c r="J189" s="112"/>
      <c r="K189" s="112"/>
      <c r="L189" s="5"/>
      <c r="M189" s="5"/>
      <c r="N189" s="5"/>
      <c r="O189" s="5"/>
      <c r="P189" s="5"/>
      <c r="Q189" s="5"/>
      <c r="R189" s="5"/>
      <c r="S189" s="5"/>
      <c r="T189" s="5"/>
      <c r="U189" s="5"/>
      <c r="V189" s="5"/>
      <c r="W189" s="5"/>
      <c r="X189" s="5"/>
      <c r="Y189" s="5"/>
    </row>
    <row r="190" ht="15.75" customHeight="1">
      <c r="A190" s="5"/>
      <c r="B190" s="5"/>
      <c r="C190" s="5"/>
      <c r="D190" s="5"/>
      <c r="E190" s="5"/>
      <c r="F190" s="5"/>
      <c r="G190" s="112"/>
      <c r="H190" s="112"/>
      <c r="I190" s="112"/>
      <c r="J190" s="112"/>
      <c r="K190" s="112"/>
      <c r="L190" s="5"/>
      <c r="M190" s="5"/>
      <c r="N190" s="5"/>
      <c r="O190" s="5"/>
      <c r="P190" s="5"/>
      <c r="Q190" s="5"/>
      <c r="R190" s="5"/>
      <c r="S190" s="5"/>
      <c r="T190" s="5"/>
      <c r="U190" s="5"/>
      <c r="V190" s="5"/>
      <c r="W190" s="5"/>
      <c r="X190" s="5"/>
      <c r="Y190" s="5"/>
    </row>
    <row r="191" ht="15.75" customHeight="1">
      <c r="A191" s="5"/>
      <c r="B191" s="5"/>
      <c r="C191" s="5"/>
      <c r="D191" s="5"/>
      <c r="E191" s="5"/>
      <c r="F191" s="5"/>
      <c r="G191" s="112"/>
      <c r="H191" s="112"/>
      <c r="I191" s="112"/>
      <c r="J191" s="112"/>
      <c r="K191" s="112"/>
      <c r="L191" s="5"/>
      <c r="M191" s="5"/>
      <c r="N191" s="5"/>
      <c r="O191" s="5"/>
      <c r="P191" s="5"/>
      <c r="Q191" s="5"/>
      <c r="R191" s="5"/>
      <c r="S191" s="5"/>
      <c r="T191" s="5"/>
      <c r="U191" s="5"/>
      <c r="V191" s="5"/>
      <c r="W191" s="5"/>
      <c r="X191" s="5"/>
      <c r="Y191" s="5"/>
    </row>
    <row r="192" ht="15.75" customHeight="1">
      <c r="A192" s="5"/>
      <c r="B192" s="5"/>
      <c r="C192" s="5"/>
      <c r="D192" s="5"/>
      <c r="E192" s="5"/>
      <c r="F192" s="5"/>
      <c r="G192" s="112"/>
      <c r="H192" s="112"/>
      <c r="I192" s="112"/>
      <c r="J192" s="112"/>
      <c r="K192" s="112"/>
      <c r="L192" s="5"/>
      <c r="M192" s="5"/>
      <c r="N192" s="5"/>
      <c r="O192" s="5"/>
      <c r="P192" s="5"/>
      <c r="Q192" s="5"/>
      <c r="R192" s="5"/>
      <c r="S192" s="5"/>
      <c r="T192" s="5"/>
      <c r="U192" s="5"/>
      <c r="V192" s="5"/>
      <c r="W192" s="5"/>
      <c r="X192" s="5"/>
      <c r="Y192" s="5"/>
    </row>
    <row r="193" ht="15.75" customHeight="1">
      <c r="A193" s="5"/>
      <c r="B193" s="5"/>
      <c r="C193" s="5"/>
      <c r="D193" s="5"/>
      <c r="E193" s="5"/>
      <c r="F193" s="5"/>
      <c r="G193" s="112"/>
      <c r="H193" s="112"/>
      <c r="I193" s="112"/>
      <c r="J193" s="112"/>
      <c r="K193" s="112"/>
      <c r="L193" s="5"/>
      <c r="M193" s="5"/>
      <c r="N193" s="5"/>
      <c r="O193" s="5"/>
      <c r="P193" s="5"/>
      <c r="Q193" s="5"/>
      <c r="R193" s="5"/>
      <c r="S193" s="5"/>
      <c r="T193" s="5"/>
      <c r="U193" s="5"/>
      <c r="V193" s="5"/>
      <c r="W193" s="5"/>
      <c r="X193" s="5"/>
      <c r="Y193" s="5"/>
    </row>
    <row r="194" ht="15.75" customHeight="1">
      <c r="A194" s="5"/>
      <c r="B194" s="5"/>
      <c r="C194" s="5"/>
      <c r="D194" s="5"/>
      <c r="E194" s="5"/>
      <c r="F194" s="5"/>
      <c r="G194" s="112"/>
      <c r="H194" s="112"/>
      <c r="I194" s="112"/>
      <c r="J194" s="112"/>
      <c r="K194" s="112"/>
      <c r="L194" s="5"/>
      <c r="M194" s="5"/>
      <c r="N194" s="5"/>
      <c r="O194" s="5"/>
      <c r="P194" s="5"/>
      <c r="Q194" s="5"/>
      <c r="R194" s="5"/>
      <c r="S194" s="5"/>
      <c r="T194" s="5"/>
      <c r="U194" s="5"/>
      <c r="V194" s="5"/>
      <c r="W194" s="5"/>
      <c r="X194" s="5"/>
      <c r="Y194" s="5"/>
    </row>
    <row r="195" ht="15.75" customHeight="1">
      <c r="A195" s="5"/>
      <c r="B195" s="5"/>
      <c r="C195" s="5"/>
      <c r="D195" s="5"/>
      <c r="E195" s="5"/>
      <c r="F195" s="5"/>
      <c r="G195" s="112"/>
      <c r="H195" s="112"/>
      <c r="I195" s="112"/>
      <c r="J195" s="112"/>
      <c r="K195" s="112"/>
      <c r="L195" s="5"/>
      <c r="M195" s="5"/>
      <c r="N195" s="5"/>
      <c r="O195" s="5"/>
      <c r="P195" s="5"/>
      <c r="Q195" s="5"/>
      <c r="R195" s="5"/>
      <c r="S195" s="5"/>
      <c r="T195" s="5"/>
      <c r="U195" s="5"/>
      <c r="V195" s="5"/>
      <c r="W195" s="5"/>
      <c r="X195" s="5"/>
      <c r="Y195" s="5"/>
    </row>
    <row r="196" ht="15.75" customHeight="1">
      <c r="A196" s="5"/>
      <c r="B196" s="5"/>
      <c r="C196" s="5"/>
      <c r="D196" s="5"/>
      <c r="E196" s="5"/>
      <c r="F196" s="5"/>
      <c r="G196" s="112"/>
      <c r="H196" s="112"/>
      <c r="I196" s="112"/>
      <c r="J196" s="112"/>
      <c r="K196" s="112"/>
      <c r="L196" s="5"/>
      <c r="M196" s="5"/>
      <c r="N196" s="5"/>
      <c r="O196" s="5"/>
      <c r="P196" s="5"/>
      <c r="Q196" s="5"/>
      <c r="R196" s="5"/>
      <c r="S196" s="5"/>
      <c r="T196" s="5"/>
      <c r="U196" s="5"/>
      <c r="V196" s="5"/>
      <c r="W196" s="5"/>
      <c r="X196" s="5"/>
      <c r="Y196" s="5"/>
    </row>
    <row r="197" ht="15.75" customHeight="1">
      <c r="A197" s="5"/>
      <c r="B197" s="5"/>
      <c r="C197" s="5"/>
      <c r="D197" s="5"/>
      <c r="E197" s="5"/>
      <c r="F197" s="5"/>
      <c r="G197" s="112"/>
      <c r="H197" s="112"/>
      <c r="I197" s="112"/>
      <c r="J197" s="112"/>
      <c r="K197" s="112"/>
      <c r="L197" s="5"/>
      <c r="M197" s="5"/>
      <c r="N197" s="5"/>
      <c r="O197" s="5"/>
      <c r="P197" s="5"/>
      <c r="Q197" s="5"/>
      <c r="R197" s="5"/>
      <c r="S197" s="5"/>
      <c r="T197" s="5"/>
      <c r="U197" s="5"/>
      <c r="V197" s="5"/>
      <c r="W197" s="5"/>
      <c r="X197" s="5"/>
      <c r="Y197" s="5"/>
    </row>
    <row r="198" ht="15.75" customHeight="1">
      <c r="A198" s="5"/>
      <c r="B198" s="5"/>
      <c r="C198" s="5"/>
      <c r="D198" s="5"/>
      <c r="E198" s="5"/>
      <c r="F198" s="5"/>
      <c r="G198" s="112"/>
      <c r="H198" s="112"/>
      <c r="I198" s="112"/>
      <c r="J198" s="112"/>
      <c r="K198" s="112"/>
      <c r="L198" s="5"/>
      <c r="M198" s="5"/>
      <c r="N198" s="5"/>
      <c r="O198" s="5"/>
      <c r="P198" s="5"/>
      <c r="Q198" s="5"/>
      <c r="R198" s="5"/>
      <c r="S198" s="5"/>
      <c r="T198" s="5"/>
      <c r="U198" s="5"/>
      <c r="V198" s="5"/>
      <c r="W198" s="5"/>
      <c r="X198" s="5"/>
      <c r="Y198" s="5"/>
    </row>
    <row r="199" ht="15.75" customHeight="1">
      <c r="A199" s="5"/>
      <c r="B199" s="5"/>
      <c r="C199" s="5"/>
      <c r="D199" s="5"/>
      <c r="E199" s="5"/>
      <c r="F199" s="5"/>
      <c r="G199" s="112"/>
      <c r="H199" s="112"/>
      <c r="I199" s="112"/>
      <c r="J199" s="112"/>
      <c r="K199" s="112"/>
      <c r="L199" s="5"/>
      <c r="M199" s="5"/>
      <c r="N199" s="5"/>
      <c r="O199" s="5"/>
      <c r="P199" s="5"/>
      <c r="Q199" s="5"/>
      <c r="R199" s="5"/>
      <c r="S199" s="5"/>
      <c r="T199" s="5"/>
      <c r="U199" s="5"/>
      <c r="V199" s="5"/>
      <c r="W199" s="5"/>
      <c r="X199" s="5"/>
      <c r="Y199" s="5"/>
    </row>
    <row r="200" ht="15.75" customHeight="1">
      <c r="A200" s="5"/>
      <c r="B200" s="5"/>
      <c r="C200" s="5"/>
      <c r="D200" s="5"/>
      <c r="E200" s="5"/>
      <c r="F200" s="5"/>
      <c r="G200" s="112"/>
      <c r="H200" s="112"/>
      <c r="I200" s="112"/>
      <c r="J200" s="112"/>
      <c r="K200" s="112"/>
      <c r="L200" s="5"/>
      <c r="M200" s="5"/>
      <c r="N200" s="5"/>
      <c r="O200" s="5"/>
      <c r="P200" s="5"/>
      <c r="Q200" s="5"/>
      <c r="R200" s="5"/>
      <c r="S200" s="5"/>
      <c r="T200" s="5"/>
      <c r="U200" s="5"/>
      <c r="V200" s="5"/>
      <c r="W200" s="5"/>
      <c r="X200" s="5"/>
      <c r="Y200" s="5"/>
    </row>
    <row r="201" ht="15.75" customHeight="1">
      <c r="A201" s="5"/>
      <c r="B201" s="5"/>
      <c r="C201" s="5"/>
      <c r="D201" s="5"/>
      <c r="E201" s="5"/>
      <c r="F201" s="5"/>
      <c r="G201" s="112"/>
      <c r="H201" s="112"/>
      <c r="I201" s="112"/>
      <c r="J201" s="112"/>
      <c r="K201" s="112"/>
      <c r="L201" s="5"/>
      <c r="M201" s="5"/>
      <c r="N201" s="5"/>
      <c r="O201" s="5"/>
      <c r="P201" s="5"/>
      <c r="Q201" s="5"/>
      <c r="R201" s="5"/>
      <c r="S201" s="5"/>
      <c r="T201" s="5"/>
      <c r="U201" s="5"/>
      <c r="V201" s="5"/>
      <c r="W201" s="5"/>
      <c r="X201" s="5"/>
      <c r="Y201" s="5"/>
    </row>
    <row r="202" ht="15.75" customHeight="1">
      <c r="A202" s="5"/>
      <c r="B202" s="5"/>
      <c r="C202" s="5"/>
      <c r="D202" s="5"/>
      <c r="E202" s="5"/>
      <c r="F202" s="5"/>
      <c r="G202" s="112"/>
      <c r="H202" s="112"/>
      <c r="I202" s="112"/>
      <c r="J202" s="112"/>
      <c r="K202" s="112"/>
      <c r="L202" s="5"/>
      <c r="M202" s="5"/>
      <c r="N202" s="5"/>
      <c r="O202" s="5"/>
      <c r="P202" s="5"/>
      <c r="Q202" s="5"/>
      <c r="R202" s="5"/>
      <c r="S202" s="5"/>
      <c r="T202" s="5"/>
      <c r="U202" s="5"/>
      <c r="V202" s="5"/>
      <c r="W202" s="5"/>
      <c r="X202" s="5"/>
      <c r="Y202" s="5"/>
    </row>
    <row r="203" ht="15.75" customHeight="1">
      <c r="A203" s="5"/>
      <c r="B203" s="5"/>
      <c r="C203" s="5"/>
      <c r="D203" s="5"/>
      <c r="E203" s="5"/>
      <c r="F203" s="5"/>
      <c r="G203" s="112"/>
      <c r="H203" s="112"/>
      <c r="I203" s="112"/>
      <c r="J203" s="112"/>
      <c r="K203" s="112"/>
      <c r="L203" s="5"/>
      <c r="M203" s="5"/>
      <c r="N203" s="5"/>
      <c r="O203" s="5"/>
      <c r="P203" s="5"/>
      <c r="Q203" s="5"/>
      <c r="R203" s="5"/>
      <c r="S203" s="5"/>
      <c r="T203" s="5"/>
      <c r="U203" s="5"/>
      <c r="V203" s="5"/>
      <c r="W203" s="5"/>
      <c r="X203" s="5"/>
      <c r="Y203" s="5"/>
    </row>
    <row r="204" ht="15.75" customHeight="1">
      <c r="A204" s="5"/>
      <c r="B204" s="5"/>
      <c r="C204" s="5"/>
      <c r="D204" s="5"/>
      <c r="E204" s="5"/>
      <c r="F204" s="5"/>
      <c r="G204" s="112"/>
      <c r="H204" s="112"/>
      <c r="I204" s="112"/>
      <c r="J204" s="112"/>
      <c r="K204" s="112"/>
      <c r="L204" s="5"/>
      <c r="M204" s="5"/>
      <c r="N204" s="5"/>
      <c r="O204" s="5"/>
      <c r="P204" s="5"/>
      <c r="Q204" s="5"/>
      <c r="R204" s="5"/>
      <c r="S204" s="5"/>
      <c r="T204" s="5"/>
      <c r="U204" s="5"/>
      <c r="V204" s="5"/>
      <c r="W204" s="5"/>
      <c r="X204" s="5"/>
      <c r="Y204" s="5"/>
    </row>
    <row r="205" ht="15.75" customHeight="1">
      <c r="A205" s="5"/>
      <c r="B205" s="5"/>
      <c r="C205" s="5"/>
      <c r="D205" s="5"/>
      <c r="E205" s="5"/>
      <c r="F205" s="5"/>
      <c r="G205" s="112"/>
      <c r="H205" s="112"/>
      <c r="I205" s="112"/>
      <c r="J205" s="112"/>
      <c r="K205" s="112"/>
      <c r="L205" s="5"/>
      <c r="M205" s="5"/>
      <c r="N205" s="5"/>
      <c r="O205" s="5"/>
      <c r="P205" s="5"/>
      <c r="Q205" s="5"/>
      <c r="R205" s="5"/>
      <c r="S205" s="5"/>
      <c r="T205" s="5"/>
      <c r="U205" s="5"/>
      <c r="V205" s="5"/>
      <c r="W205" s="5"/>
      <c r="X205" s="5"/>
      <c r="Y205" s="5"/>
    </row>
    <row r="206" ht="15.75" customHeight="1">
      <c r="A206" s="5"/>
      <c r="B206" s="5"/>
      <c r="C206" s="5"/>
      <c r="D206" s="5"/>
      <c r="E206" s="5"/>
      <c r="F206" s="5"/>
      <c r="G206" s="112"/>
      <c r="H206" s="112"/>
      <c r="I206" s="112"/>
      <c r="J206" s="112"/>
      <c r="K206" s="112"/>
      <c r="L206" s="5"/>
      <c r="M206" s="5"/>
      <c r="N206" s="5"/>
      <c r="O206" s="5"/>
      <c r="P206" s="5"/>
      <c r="Q206" s="5"/>
      <c r="R206" s="5"/>
      <c r="S206" s="5"/>
      <c r="T206" s="5"/>
      <c r="U206" s="5"/>
      <c r="V206" s="5"/>
      <c r="W206" s="5"/>
      <c r="X206" s="5"/>
      <c r="Y206" s="5"/>
    </row>
    <row r="207" ht="15.75" customHeight="1">
      <c r="A207" s="5"/>
      <c r="B207" s="5"/>
      <c r="C207" s="5"/>
      <c r="D207" s="5"/>
      <c r="E207" s="5"/>
      <c r="F207" s="5"/>
      <c r="G207" s="112"/>
      <c r="H207" s="112"/>
      <c r="I207" s="112"/>
      <c r="J207" s="112"/>
      <c r="K207" s="112"/>
      <c r="L207" s="5"/>
      <c r="M207" s="5"/>
      <c r="N207" s="5"/>
      <c r="O207" s="5"/>
      <c r="P207" s="5"/>
      <c r="Q207" s="5"/>
      <c r="R207" s="5"/>
      <c r="S207" s="5"/>
      <c r="T207" s="5"/>
      <c r="U207" s="5"/>
      <c r="V207" s="5"/>
      <c r="W207" s="5"/>
      <c r="X207" s="5"/>
      <c r="Y207" s="5"/>
    </row>
    <row r="208" ht="15.75" customHeight="1">
      <c r="A208" s="5"/>
      <c r="B208" s="5"/>
      <c r="C208" s="5"/>
      <c r="D208" s="5"/>
      <c r="E208" s="5"/>
      <c r="F208" s="5"/>
      <c r="G208" s="112"/>
      <c r="H208" s="112"/>
      <c r="I208" s="112"/>
      <c r="J208" s="112"/>
      <c r="K208" s="112"/>
      <c r="L208" s="5"/>
      <c r="M208" s="5"/>
      <c r="N208" s="5"/>
      <c r="O208" s="5"/>
      <c r="P208" s="5"/>
      <c r="Q208" s="5"/>
      <c r="R208" s="5"/>
      <c r="S208" s="5"/>
      <c r="T208" s="5"/>
      <c r="U208" s="5"/>
      <c r="V208" s="5"/>
      <c r="W208" s="5"/>
      <c r="X208" s="5"/>
      <c r="Y208" s="5"/>
    </row>
    <row r="209" ht="15.75" customHeight="1">
      <c r="A209" s="5"/>
      <c r="B209" s="5"/>
      <c r="C209" s="5"/>
      <c r="D209" s="5"/>
      <c r="E209" s="5"/>
      <c r="F209" s="5"/>
      <c r="G209" s="112"/>
      <c r="H209" s="112"/>
      <c r="I209" s="112"/>
      <c r="J209" s="112"/>
      <c r="K209" s="112"/>
      <c r="L209" s="5"/>
      <c r="M209" s="5"/>
      <c r="N209" s="5"/>
      <c r="O209" s="5"/>
      <c r="P209" s="5"/>
      <c r="Q209" s="5"/>
      <c r="R209" s="5"/>
      <c r="S209" s="5"/>
      <c r="T209" s="5"/>
      <c r="U209" s="5"/>
      <c r="V209" s="5"/>
      <c r="W209" s="5"/>
      <c r="X209" s="5"/>
      <c r="Y209" s="5"/>
    </row>
    <row r="210" ht="15.75" customHeight="1">
      <c r="A210" s="5"/>
      <c r="B210" s="5"/>
      <c r="C210" s="5"/>
      <c r="D210" s="5"/>
      <c r="E210" s="5"/>
      <c r="F210" s="5"/>
      <c r="G210" s="112"/>
      <c r="H210" s="112"/>
      <c r="I210" s="112"/>
      <c r="J210" s="112"/>
      <c r="K210" s="112"/>
      <c r="L210" s="5"/>
      <c r="M210" s="5"/>
      <c r="N210" s="5"/>
      <c r="O210" s="5"/>
      <c r="P210" s="5"/>
      <c r="Q210" s="5"/>
      <c r="R210" s="5"/>
      <c r="S210" s="5"/>
      <c r="T210" s="5"/>
      <c r="U210" s="5"/>
      <c r="V210" s="5"/>
      <c r="W210" s="5"/>
      <c r="X210" s="5"/>
      <c r="Y210" s="5"/>
    </row>
    <row r="211" ht="15.75" customHeight="1">
      <c r="A211" s="5"/>
      <c r="B211" s="5"/>
      <c r="C211" s="5"/>
      <c r="D211" s="5"/>
      <c r="E211" s="5"/>
      <c r="F211" s="5"/>
      <c r="G211" s="112"/>
      <c r="H211" s="112"/>
      <c r="I211" s="112"/>
      <c r="J211" s="112"/>
      <c r="K211" s="112"/>
      <c r="L211" s="5"/>
      <c r="M211" s="5"/>
      <c r="N211" s="5"/>
      <c r="O211" s="5"/>
      <c r="P211" s="5"/>
      <c r="Q211" s="5"/>
      <c r="R211" s="5"/>
      <c r="S211" s="5"/>
      <c r="T211" s="5"/>
      <c r="U211" s="5"/>
      <c r="V211" s="5"/>
      <c r="W211" s="5"/>
      <c r="X211" s="5"/>
      <c r="Y211" s="5"/>
    </row>
    <row r="212" ht="15.75" customHeight="1">
      <c r="A212" s="5"/>
      <c r="B212" s="5"/>
      <c r="C212" s="5"/>
      <c r="D212" s="5"/>
      <c r="E212" s="5"/>
      <c r="F212" s="5"/>
      <c r="G212" s="112"/>
      <c r="H212" s="112"/>
      <c r="I212" s="112"/>
      <c r="J212" s="112"/>
      <c r="K212" s="112"/>
      <c r="L212" s="5"/>
      <c r="M212" s="5"/>
      <c r="N212" s="5"/>
      <c r="O212" s="5"/>
      <c r="P212" s="5"/>
      <c r="Q212" s="5"/>
      <c r="R212" s="5"/>
      <c r="S212" s="5"/>
      <c r="T212" s="5"/>
      <c r="U212" s="5"/>
      <c r="V212" s="5"/>
      <c r="W212" s="5"/>
      <c r="X212" s="5"/>
      <c r="Y212" s="5"/>
    </row>
    <row r="213" ht="15.75" customHeight="1">
      <c r="A213" s="5"/>
      <c r="B213" s="5"/>
      <c r="C213" s="5"/>
      <c r="D213" s="5"/>
      <c r="E213" s="5"/>
      <c r="F213" s="5"/>
      <c r="G213" s="112"/>
      <c r="H213" s="112"/>
      <c r="I213" s="112"/>
      <c r="J213" s="112"/>
      <c r="K213" s="112"/>
      <c r="L213" s="5"/>
      <c r="M213" s="5"/>
      <c r="N213" s="5"/>
      <c r="O213" s="5"/>
      <c r="P213" s="5"/>
      <c r="Q213" s="5"/>
      <c r="R213" s="5"/>
      <c r="S213" s="5"/>
      <c r="T213" s="5"/>
      <c r="U213" s="5"/>
      <c r="V213" s="5"/>
      <c r="W213" s="5"/>
      <c r="X213" s="5"/>
      <c r="Y213" s="5"/>
    </row>
    <row r="214" ht="15.75" customHeight="1">
      <c r="A214" s="5"/>
      <c r="B214" s="5"/>
      <c r="C214" s="5"/>
      <c r="D214" s="5"/>
      <c r="E214" s="5"/>
      <c r="F214" s="5"/>
      <c r="G214" s="112"/>
      <c r="H214" s="112"/>
      <c r="I214" s="112"/>
      <c r="J214" s="112"/>
      <c r="K214" s="112"/>
      <c r="L214" s="5"/>
      <c r="M214" s="5"/>
      <c r="N214" s="5"/>
      <c r="O214" s="5"/>
      <c r="P214" s="5"/>
      <c r="Q214" s="5"/>
      <c r="R214" s="5"/>
      <c r="S214" s="5"/>
      <c r="T214" s="5"/>
      <c r="U214" s="5"/>
      <c r="V214" s="5"/>
      <c r="W214" s="5"/>
      <c r="X214" s="5"/>
      <c r="Y214" s="5"/>
    </row>
    <row r="215" ht="15.75" customHeight="1">
      <c r="A215" s="5"/>
      <c r="B215" s="5"/>
      <c r="C215" s="5"/>
      <c r="D215" s="5"/>
      <c r="E215" s="5"/>
      <c r="F215" s="5"/>
      <c r="G215" s="112"/>
      <c r="H215" s="112"/>
      <c r="I215" s="112"/>
      <c r="J215" s="112"/>
      <c r="K215" s="112"/>
      <c r="L215" s="5"/>
      <c r="M215" s="5"/>
      <c r="N215" s="5"/>
      <c r="O215" s="5"/>
      <c r="P215" s="5"/>
      <c r="Q215" s="5"/>
      <c r="R215" s="5"/>
      <c r="S215" s="5"/>
      <c r="T215" s="5"/>
      <c r="U215" s="5"/>
      <c r="V215" s="5"/>
      <c r="W215" s="5"/>
      <c r="X215" s="5"/>
      <c r="Y215" s="5"/>
    </row>
    <row r="216" ht="15.75" customHeight="1">
      <c r="A216" s="5"/>
      <c r="B216" s="5"/>
      <c r="C216" s="5"/>
      <c r="D216" s="5"/>
      <c r="E216" s="5"/>
      <c r="F216" s="5"/>
      <c r="G216" s="112"/>
      <c r="H216" s="112"/>
      <c r="I216" s="112"/>
      <c r="J216" s="112"/>
      <c r="K216" s="112"/>
      <c r="L216" s="5"/>
      <c r="M216" s="5"/>
      <c r="N216" s="5"/>
      <c r="O216" s="5"/>
      <c r="P216" s="5"/>
      <c r="Q216" s="5"/>
      <c r="R216" s="5"/>
      <c r="S216" s="5"/>
      <c r="T216" s="5"/>
      <c r="U216" s="5"/>
      <c r="V216" s="5"/>
      <c r="W216" s="5"/>
      <c r="X216" s="5"/>
      <c r="Y216" s="5"/>
    </row>
    <row r="217" ht="15.75" customHeight="1">
      <c r="A217" s="5"/>
      <c r="B217" s="5"/>
      <c r="C217" s="5"/>
      <c r="D217" s="5"/>
      <c r="E217" s="5"/>
      <c r="F217" s="5"/>
      <c r="G217" s="112"/>
      <c r="H217" s="112"/>
      <c r="I217" s="112"/>
      <c r="J217" s="112"/>
      <c r="K217" s="112"/>
      <c r="L217" s="5"/>
      <c r="M217" s="5"/>
      <c r="N217" s="5"/>
      <c r="O217" s="5"/>
      <c r="P217" s="5"/>
      <c r="Q217" s="5"/>
      <c r="R217" s="5"/>
      <c r="S217" s="5"/>
      <c r="T217" s="5"/>
      <c r="U217" s="5"/>
      <c r="V217" s="5"/>
      <c r="W217" s="5"/>
      <c r="X217" s="5"/>
      <c r="Y217" s="5"/>
    </row>
    <row r="218" ht="15.75" customHeight="1">
      <c r="A218" s="5"/>
      <c r="B218" s="5"/>
      <c r="C218" s="5"/>
      <c r="D218" s="5"/>
      <c r="E218" s="5"/>
      <c r="F218" s="5"/>
      <c r="G218" s="112"/>
      <c r="H218" s="112"/>
      <c r="I218" s="112"/>
      <c r="J218" s="112"/>
      <c r="K218" s="112"/>
      <c r="L218" s="5"/>
      <c r="M218" s="5"/>
      <c r="N218" s="5"/>
      <c r="O218" s="5"/>
      <c r="P218" s="5"/>
      <c r="Q218" s="5"/>
      <c r="R218" s="5"/>
      <c r="S218" s="5"/>
      <c r="T218" s="5"/>
      <c r="U218" s="5"/>
      <c r="V218" s="5"/>
      <c r="W218" s="5"/>
      <c r="X218" s="5"/>
      <c r="Y218" s="5"/>
    </row>
    <row r="219" ht="15.75" customHeight="1">
      <c r="A219" s="5"/>
      <c r="B219" s="5"/>
      <c r="C219" s="5"/>
      <c r="D219" s="5"/>
      <c r="E219" s="5"/>
      <c r="F219" s="5"/>
      <c r="G219" s="112"/>
      <c r="H219" s="112"/>
      <c r="I219" s="112"/>
      <c r="J219" s="112"/>
      <c r="K219" s="112"/>
      <c r="L219" s="5"/>
      <c r="M219" s="5"/>
      <c r="N219" s="5"/>
      <c r="O219" s="5"/>
      <c r="P219" s="5"/>
      <c r="Q219" s="5"/>
      <c r="R219" s="5"/>
      <c r="S219" s="5"/>
      <c r="T219" s="5"/>
      <c r="U219" s="5"/>
      <c r="V219" s="5"/>
      <c r="W219" s="5"/>
      <c r="X219" s="5"/>
      <c r="Y219" s="5"/>
    </row>
    <row r="220" ht="15.75" customHeight="1">
      <c r="A220" s="5"/>
      <c r="B220" s="5"/>
      <c r="C220" s="5"/>
      <c r="D220" s="5"/>
      <c r="E220" s="5"/>
      <c r="F220" s="5"/>
      <c r="G220" s="112"/>
      <c r="H220" s="112"/>
      <c r="I220" s="112"/>
      <c r="J220" s="112"/>
      <c r="K220" s="112"/>
      <c r="L220" s="5"/>
      <c r="M220" s="5"/>
      <c r="N220" s="5"/>
      <c r="O220" s="5"/>
      <c r="P220" s="5"/>
      <c r="Q220" s="5"/>
      <c r="R220" s="5"/>
      <c r="S220" s="5"/>
      <c r="T220" s="5"/>
      <c r="U220" s="5"/>
      <c r="V220" s="5"/>
      <c r="W220" s="5"/>
      <c r="X220" s="5"/>
      <c r="Y220" s="5"/>
    </row>
    <row r="221" ht="15.75" customHeight="1">
      <c r="A221" s="5"/>
      <c r="B221" s="5"/>
      <c r="C221" s="5"/>
      <c r="D221" s="5"/>
      <c r="E221" s="5"/>
      <c r="F221" s="5"/>
      <c r="G221" s="112"/>
      <c r="H221" s="112"/>
      <c r="I221" s="112"/>
      <c r="J221" s="112"/>
      <c r="K221" s="112"/>
      <c r="L221" s="5"/>
      <c r="M221" s="5"/>
      <c r="N221" s="5"/>
      <c r="O221" s="5"/>
      <c r="P221" s="5"/>
      <c r="Q221" s="5"/>
      <c r="R221" s="5"/>
      <c r="S221" s="5"/>
      <c r="T221" s="5"/>
      <c r="U221" s="5"/>
      <c r="V221" s="5"/>
      <c r="W221" s="5"/>
      <c r="X221" s="5"/>
      <c r="Y221" s="5"/>
    </row>
    <row r="222" ht="15.75" customHeight="1">
      <c r="A222" s="5"/>
      <c r="B222" s="5"/>
      <c r="C222" s="5"/>
      <c r="D222" s="5"/>
      <c r="E222" s="5"/>
      <c r="F222" s="5"/>
      <c r="G222" s="112"/>
      <c r="H222" s="112"/>
      <c r="I222" s="112"/>
      <c r="J222" s="112"/>
      <c r="K222" s="112"/>
      <c r="L222" s="5"/>
      <c r="M222" s="5"/>
      <c r="N222" s="5"/>
      <c r="O222" s="5"/>
      <c r="P222" s="5"/>
      <c r="Q222" s="5"/>
      <c r="R222" s="5"/>
      <c r="S222" s="5"/>
      <c r="T222" s="5"/>
      <c r="U222" s="5"/>
      <c r="V222" s="5"/>
      <c r="W222" s="5"/>
      <c r="X222" s="5"/>
      <c r="Y222" s="5"/>
    </row>
    <row r="223" ht="15.75" customHeight="1">
      <c r="A223" s="5"/>
      <c r="B223" s="5"/>
      <c r="C223" s="5"/>
      <c r="D223" s="5"/>
      <c r="E223" s="5"/>
      <c r="F223" s="5"/>
      <c r="G223" s="112"/>
      <c r="H223" s="112"/>
      <c r="I223" s="112"/>
      <c r="J223" s="112"/>
      <c r="K223" s="112"/>
      <c r="L223" s="5"/>
      <c r="M223" s="5"/>
      <c r="N223" s="5"/>
      <c r="O223" s="5"/>
      <c r="P223" s="5"/>
      <c r="Q223" s="5"/>
      <c r="R223" s="5"/>
      <c r="S223" s="5"/>
      <c r="T223" s="5"/>
      <c r="U223" s="5"/>
      <c r="V223" s="5"/>
      <c r="W223" s="5"/>
      <c r="X223" s="5"/>
      <c r="Y223" s="5"/>
    </row>
    <row r="224" ht="15.75" customHeight="1">
      <c r="A224" s="5"/>
      <c r="B224" s="5"/>
      <c r="C224" s="5"/>
      <c r="D224" s="5"/>
      <c r="E224" s="5"/>
      <c r="F224" s="5"/>
      <c r="G224" s="112"/>
      <c r="H224" s="112"/>
      <c r="I224" s="112"/>
      <c r="J224" s="112"/>
      <c r="K224" s="112"/>
      <c r="L224" s="5"/>
      <c r="M224" s="5"/>
      <c r="N224" s="5"/>
      <c r="O224" s="5"/>
      <c r="P224" s="5"/>
      <c r="Q224" s="5"/>
      <c r="R224" s="5"/>
      <c r="S224" s="5"/>
      <c r="T224" s="5"/>
      <c r="U224" s="5"/>
      <c r="V224" s="5"/>
      <c r="W224" s="5"/>
      <c r="X224" s="5"/>
      <c r="Y224" s="5"/>
    </row>
    <row r="225" ht="15.75" customHeight="1">
      <c r="A225" s="5"/>
      <c r="B225" s="5"/>
      <c r="C225" s="5"/>
      <c r="D225" s="5"/>
      <c r="E225" s="5"/>
      <c r="F225" s="5"/>
      <c r="G225" s="112"/>
      <c r="H225" s="112"/>
      <c r="I225" s="112"/>
      <c r="J225" s="112"/>
      <c r="K225" s="112"/>
      <c r="L225" s="5"/>
      <c r="M225" s="5"/>
      <c r="N225" s="5"/>
      <c r="O225" s="5"/>
      <c r="P225" s="5"/>
      <c r="Q225" s="5"/>
      <c r="R225" s="5"/>
      <c r="S225" s="5"/>
      <c r="T225" s="5"/>
      <c r="U225" s="5"/>
      <c r="V225" s="5"/>
      <c r="W225" s="5"/>
      <c r="X225" s="5"/>
      <c r="Y225" s="5"/>
    </row>
    <row r="226" ht="15.75" customHeight="1">
      <c r="A226" s="5"/>
      <c r="B226" s="5"/>
      <c r="C226" s="5"/>
      <c r="D226" s="5"/>
      <c r="E226" s="5"/>
      <c r="F226" s="5"/>
      <c r="G226" s="112"/>
      <c r="H226" s="112"/>
      <c r="I226" s="112"/>
      <c r="J226" s="112"/>
      <c r="K226" s="112"/>
      <c r="L226" s="5"/>
      <c r="M226" s="5"/>
      <c r="N226" s="5"/>
      <c r="O226" s="5"/>
      <c r="P226" s="5"/>
      <c r="Q226" s="5"/>
      <c r="R226" s="5"/>
      <c r="S226" s="5"/>
      <c r="T226" s="5"/>
      <c r="U226" s="5"/>
      <c r="V226" s="5"/>
      <c r="W226" s="5"/>
      <c r="X226" s="5"/>
      <c r="Y226" s="5"/>
    </row>
    <row r="227" ht="15.75" customHeight="1">
      <c r="A227" s="5"/>
      <c r="B227" s="5"/>
      <c r="C227" s="5"/>
      <c r="D227" s="5"/>
      <c r="E227" s="5"/>
      <c r="F227" s="5"/>
      <c r="G227" s="112"/>
      <c r="H227" s="112"/>
      <c r="I227" s="112"/>
      <c r="J227" s="112"/>
      <c r="K227" s="112"/>
      <c r="L227" s="5"/>
      <c r="M227" s="5"/>
      <c r="N227" s="5"/>
      <c r="O227" s="5"/>
      <c r="P227" s="5"/>
      <c r="Q227" s="5"/>
      <c r="R227" s="5"/>
      <c r="S227" s="5"/>
      <c r="T227" s="5"/>
      <c r="U227" s="5"/>
      <c r="V227" s="5"/>
      <c r="W227" s="5"/>
      <c r="X227" s="5"/>
      <c r="Y227" s="5"/>
    </row>
    <row r="228" ht="15.75" customHeight="1">
      <c r="A228" s="5"/>
      <c r="B228" s="5"/>
      <c r="C228" s="5"/>
      <c r="D228" s="5"/>
      <c r="E228" s="5"/>
      <c r="F228" s="5"/>
      <c r="G228" s="112"/>
      <c r="H228" s="112"/>
      <c r="I228" s="112"/>
      <c r="J228" s="112"/>
      <c r="K228" s="112"/>
      <c r="L228" s="5"/>
      <c r="M228" s="5"/>
      <c r="N228" s="5"/>
      <c r="O228" s="5"/>
      <c r="P228" s="5"/>
      <c r="Q228" s="5"/>
      <c r="R228" s="5"/>
      <c r="S228" s="5"/>
      <c r="T228" s="5"/>
      <c r="U228" s="5"/>
      <c r="V228" s="5"/>
      <c r="W228" s="5"/>
      <c r="X228" s="5"/>
      <c r="Y228" s="5"/>
    </row>
    <row r="229" ht="15.75" customHeight="1">
      <c r="A229" s="5"/>
      <c r="B229" s="5"/>
      <c r="C229" s="5"/>
      <c r="D229" s="5"/>
      <c r="E229" s="5"/>
      <c r="F229" s="5"/>
      <c r="G229" s="112"/>
      <c r="H229" s="112"/>
      <c r="I229" s="112"/>
      <c r="J229" s="112"/>
      <c r="K229" s="112"/>
      <c r="L229" s="5"/>
      <c r="M229" s="5"/>
      <c r="N229" s="5"/>
      <c r="O229" s="5"/>
      <c r="P229" s="5"/>
      <c r="Q229" s="5"/>
      <c r="R229" s="5"/>
      <c r="S229" s="5"/>
      <c r="T229" s="5"/>
      <c r="U229" s="5"/>
      <c r="V229" s="5"/>
      <c r="W229" s="5"/>
      <c r="X229" s="5"/>
      <c r="Y229" s="5"/>
    </row>
    <row r="230" ht="15.75" customHeight="1">
      <c r="A230" s="5"/>
      <c r="B230" s="5"/>
      <c r="C230" s="5"/>
      <c r="D230" s="5"/>
      <c r="E230" s="5"/>
      <c r="F230" s="5"/>
      <c r="G230" s="112"/>
      <c r="H230" s="112"/>
      <c r="I230" s="112"/>
      <c r="J230" s="112"/>
      <c r="K230" s="112"/>
      <c r="L230" s="5"/>
      <c r="M230" s="5"/>
      <c r="N230" s="5"/>
      <c r="O230" s="5"/>
      <c r="P230" s="5"/>
      <c r="Q230" s="5"/>
      <c r="R230" s="5"/>
      <c r="S230" s="5"/>
      <c r="T230" s="5"/>
      <c r="U230" s="5"/>
      <c r="V230" s="5"/>
      <c r="W230" s="5"/>
      <c r="X230" s="5"/>
      <c r="Y230" s="5"/>
    </row>
    <row r="231" ht="15.75" customHeight="1">
      <c r="A231" s="5"/>
      <c r="B231" s="5"/>
      <c r="C231" s="5"/>
      <c r="D231" s="5"/>
      <c r="E231" s="5"/>
      <c r="F231" s="5"/>
      <c r="G231" s="112"/>
      <c r="H231" s="112"/>
      <c r="I231" s="112"/>
      <c r="J231" s="112"/>
      <c r="K231" s="112"/>
      <c r="L231" s="5"/>
      <c r="M231" s="5"/>
      <c r="N231" s="5"/>
      <c r="O231" s="5"/>
      <c r="P231" s="5"/>
      <c r="Q231" s="5"/>
      <c r="R231" s="5"/>
      <c r="S231" s="5"/>
      <c r="T231" s="5"/>
      <c r="U231" s="5"/>
      <c r="V231" s="5"/>
      <c r="W231" s="5"/>
      <c r="X231" s="5"/>
      <c r="Y231" s="5"/>
    </row>
    <row r="232" ht="15.75" customHeight="1">
      <c r="A232" s="5"/>
      <c r="B232" s="5"/>
      <c r="C232" s="5"/>
      <c r="D232" s="5"/>
      <c r="E232" s="5"/>
      <c r="F232" s="5"/>
      <c r="G232" s="112"/>
      <c r="H232" s="112"/>
      <c r="I232" s="112"/>
      <c r="J232" s="112"/>
      <c r="K232" s="112"/>
      <c r="L232" s="5"/>
      <c r="M232" s="5"/>
      <c r="N232" s="5"/>
      <c r="O232" s="5"/>
      <c r="P232" s="5"/>
      <c r="Q232" s="5"/>
      <c r="R232" s="5"/>
      <c r="S232" s="5"/>
      <c r="T232" s="5"/>
      <c r="U232" s="5"/>
      <c r="V232" s="5"/>
      <c r="W232" s="5"/>
      <c r="X232" s="5"/>
      <c r="Y232" s="5"/>
    </row>
    <row r="233" ht="15.75" customHeight="1">
      <c r="A233" s="5"/>
      <c r="B233" s="5"/>
      <c r="C233" s="5"/>
      <c r="D233" s="5"/>
      <c r="E233" s="5"/>
      <c r="F233" s="5"/>
      <c r="G233" s="112"/>
      <c r="H233" s="112"/>
      <c r="I233" s="112"/>
      <c r="J233" s="112"/>
      <c r="K233" s="112"/>
      <c r="L233" s="5"/>
      <c r="M233" s="5"/>
      <c r="N233" s="5"/>
      <c r="O233" s="5"/>
      <c r="P233" s="5"/>
      <c r="Q233" s="5"/>
      <c r="R233" s="5"/>
      <c r="S233" s="5"/>
      <c r="T233" s="5"/>
      <c r="U233" s="5"/>
      <c r="V233" s="5"/>
      <c r="W233" s="5"/>
      <c r="X233" s="5"/>
      <c r="Y233" s="5"/>
    </row>
    <row r="234" ht="15.75" customHeight="1">
      <c r="A234" s="5"/>
      <c r="B234" s="5"/>
      <c r="C234" s="5"/>
      <c r="D234" s="5"/>
      <c r="E234" s="5"/>
      <c r="F234" s="5"/>
      <c r="G234" s="112"/>
      <c r="H234" s="112"/>
      <c r="I234" s="112"/>
      <c r="J234" s="112"/>
      <c r="K234" s="112"/>
      <c r="L234" s="5"/>
      <c r="M234" s="5"/>
      <c r="N234" s="5"/>
      <c r="O234" s="5"/>
      <c r="P234" s="5"/>
      <c r="Q234" s="5"/>
      <c r="R234" s="5"/>
      <c r="S234" s="5"/>
      <c r="T234" s="5"/>
      <c r="U234" s="5"/>
      <c r="V234" s="5"/>
      <c r="W234" s="5"/>
      <c r="X234" s="5"/>
      <c r="Y234" s="5"/>
    </row>
    <row r="235" ht="15.75" customHeight="1">
      <c r="A235" s="5"/>
      <c r="B235" s="5"/>
      <c r="C235" s="5"/>
      <c r="D235" s="5"/>
      <c r="E235" s="5"/>
      <c r="F235" s="5"/>
      <c r="G235" s="112"/>
      <c r="H235" s="112"/>
      <c r="I235" s="112"/>
      <c r="J235" s="112"/>
      <c r="K235" s="112"/>
      <c r="L235" s="5"/>
      <c r="M235" s="5"/>
      <c r="N235" s="5"/>
      <c r="O235" s="5"/>
      <c r="P235" s="5"/>
      <c r="Q235" s="5"/>
      <c r="R235" s="5"/>
      <c r="S235" s="5"/>
      <c r="T235" s="5"/>
      <c r="U235" s="5"/>
      <c r="V235" s="5"/>
      <c r="W235" s="5"/>
      <c r="X235" s="5"/>
      <c r="Y235" s="5"/>
    </row>
    <row r="236" ht="15.75" customHeight="1">
      <c r="A236" s="5"/>
      <c r="B236" s="5"/>
      <c r="C236" s="5"/>
      <c r="D236" s="5"/>
      <c r="E236" s="5"/>
      <c r="F236" s="5"/>
      <c r="G236" s="112"/>
      <c r="H236" s="112"/>
      <c r="I236" s="112"/>
      <c r="J236" s="112"/>
      <c r="K236" s="112"/>
      <c r="L236" s="5"/>
      <c r="M236" s="5"/>
      <c r="N236" s="5"/>
      <c r="O236" s="5"/>
      <c r="P236" s="5"/>
      <c r="Q236" s="5"/>
      <c r="R236" s="5"/>
      <c r="S236" s="5"/>
      <c r="T236" s="5"/>
      <c r="U236" s="5"/>
      <c r="V236" s="5"/>
      <c r="W236" s="5"/>
      <c r="X236" s="5"/>
      <c r="Y236" s="5"/>
    </row>
    <row r="237" ht="15.75" customHeight="1">
      <c r="A237" s="5"/>
      <c r="B237" s="5"/>
      <c r="C237" s="5"/>
      <c r="D237" s="5"/>
      <c r="E237" s="5"/>
      <c r="F237" s="5"/>
      <c r="G237" s="112"/>
      <c r="H237" s="112"/>
      <c r="I237" s="112"/>
      <c r="J237" s="112"/>
      <c r="K237" s="112"/>
      <c r="L237" s="5"/>
      <c r="M237" s="5"/>
      <c r="N237" s="5"/>
      <c r="O237" s="5"/>
      <c r="P237" s="5"/>
      <c r="Q237" s="5"/>
      <c r="R237" s="5"/>
      <c r="S237" s="5"/>
      <c r="T237" s="5"/>
      <c r="U237" s="5"/>
      <c r="V237" s="5"/>
      <c r="W237" s="5"/>
      <c r="X237" s="5"/>
      <c r="Y237" s="5"/>
    </row>
    <row r="238" ht="15.75" customHeight="1">
      <c r="A238" s="5"/>
      <c r="B238" s="5"/>
      <c r="C238" s="5"/>
      <c r="D238" s="5"/>
      <c r="E238" s="5"/>
      <c r="F238" s="5"/>
      <c r="G238" s="112"/>
      <c r="H238" s="112"/>
      <c r="I238" s="112"/>
      <c r="J238" s="112"/>
      <c r="K238" s="112"/>
      <c r="L238" s="5"/>
      <c r="M238" s="5"/>
      <c r="N238" s="5"/>
      <c r="O238" s="5"/>
      <c r="P238" s="5"/>
      <c r="Q238" s="5"/>
      <c r="R238" s="5"/>
      <c r="S238" s="5"/>
      <c r="T238" s="5"/>
      <c r="U238" s="5"/>
      <c r="V238" s="5"/>
      <c r="W238" s="5"/>
      <c r="X238" s="5"/>
      <c r="Y238" s="5"/>
    </row>
    <row r="239" ht="15.75" customHeight="1">
      <c r="A239" s="5"/>
      <c r="B239" s="5"/>
      <c r="C239" s="5"/>
      <c r="D239" s="5"/>
      <c r="E239" s="5"/>
      <c r="F239" s="5"/>
      <c r="G239" s="112"/>
      <c r="H239" s="112"/>
      <c r="I239" s="112"/>
      <c r="J239" s="112"/>
      <c r="K239" s="112"/>
      <c r="L239" s="5"/>
      <c r="M239" s="5"/>
      <c r="N239" s="5"/>
      <c r="O239" s="5"/>
      <c r="P239" s="5"/>
      <c r="Q239" s="5"/>
      <c r="R239" s="5"/>
      <c r="S239" s="5"/>
      <c r="T239" s="5"/>
      <c r="U239" s="5"/>
      <c r="V239" s="5"/>
      <c r="W239" s="5"/>
      <c r="X239" s="5"/>
      <c r="Y239" s="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K14 K16 O13">
    <cfRule type="colorScale" priority="3">
      <colorScale>
        <cfvo type="min"/>
        <cfvo type="percentile" val="50"/>
        <cfvo type="max"/>
        <color rgb="FFF8696B"/>
        <color rgb="FFFFEB84"/>
        <color rgb="FF63BE7B"/>
      </colorScale>
    </cfRule>
  </conditionalFormatting>
  <conditionalFormatting sqref="A40:K40">
    <cfRule type="notContainsBlanks" dxfId="7" priority="4">
      <formula>LEN(TRIM(A40))&gt;0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2" max="25" width="8.71"/>
  </cols>
  <sheetData>
    <row r="1" ht="24.75" customHeight="1">
      <c r="A1" s="1"/>
      <c r="B1" s="2"/>
      <c r="C1" s="2"/>
      <c r="D1" s="3" t="str">
        <f>RubricTutor!D1</f>
        <v>Bachelor's degree in Techniques for Software Application Development</v>
      </c>
      <c r="E1" s="4"/>
      <c r="F1" s="4"/>
      <c r="G1" s="4"/>
      <c r="H1" s="4"/>
      <c r="I1" s="4"/>
      <c r="J1" s="4"/>
      <c r="K1" s="4"/>
      <c r="L1" s="5"/>
      <c r="M1" s="5"/>
      <c r="N1" s="5"/>
      <c r="O1" s="5"/>
      <c r="P1" s="5"/>
      <c r="Q1" s="5"/>
      <c r="R1" s="5"/>
      <c r="S1" s="5"/>
      <c r="T1" s="5"/>
      <c r="U1" s="5"/>
      <c r="V1" s="5"/>
      <c r="W1" s="5"/>
      <c r="X1" s="5"/>
      <c r="Y1" s="5"/>
    </row>
    <row r="2" ht="24.75" customHeight="1">
      <c r="A2" s="6"/>
      <c r="D2" s="3" t="str">
        <f>RubricTutor!D2</f>
        <v>Trabajo final - Semestre 2025-1</v>
      </c>
      <c r="E2" s="4"/>
      <c r="F2" s="4"/>
      <c r="G2" s="4"/>
      <c r="H2" s="4"/>
      <c r="I2" s="4"/>
      <c r="J2" s="4"/>
      <c r="K2" s="4"/>
      <c r="L2" s="5"/>
      <c r="M2" s="5"/>
      <c r="N2" s="5"/>
      <c r="O2" s="5"/>
      <c r="P2" s="5"/>
      <c r="Q2" s="5"/>
      <c r="R2" s="5"/>
      <c r="S2" s="5"/>
      <c r="T2" s="5"/>
      <c r="U2" s="5"/>
      <c r="V2" s="5"/>
      <c r="W2" s="5"/>
      <c r="X2" s="5"/>
      <c r="Y2" s="5"/>
    </row>
    <row r="3" ht="24.75" customHeight="1">
      <c r="A3" s="7"/>
      <c r="B3" s="7"/>
      <c r="C3" s="7"/>
      <c r="D3" s="7"/>
      <c r="E3" s="7"/>
      <c r="F3" s="7"/>
      <c r="G3" s="7"/>
      <c r="H3" s="8"/>
      <c r="I3" s="8"/>
      <c r="J3" s="8"/>
      <c r="K3" s="8"/>
      <c r="L3" s="8"/>
      <c r="M3" s="8"/>
      <c r="N3" s="5"/>
      <c r="O3" s="5"/>
      <c r="P3" s="5"/>
      <c r="Q3" s="5"/>
      <c r="R3" s="5"/>
      <c r="S3" s="5"/>
      <c r="T3" s="5"/>
      <c r="U3" s="5"/>
      <c r="V3" s="5"/>
      <c r="W3" s="5"/>
      <c r="X3" s="5"/>
      <c r="Y3" s="5"/>
    </row>
    <row r="4" ht="26.25" customHeight="1">
      <c r="A4" s="9" t="str">
        <f>Language!C5</f>
        <v>Nombre del/de la estudiante:</v>
      </c>
      <c r="B4" s="10"/>
      <c r="C4" s="10"/>
      <c r="D4" s="115" t="str">
        <f>RubricTutor!D4</f>
        <v/>
      </c>
      <c r="E4" s="10"/>
      <c r="F4" s="10"/>
      <c r="G4" s="10"/>
      <c r="H4" s="10"/>
      <c r="I4" s="10"/>
      <c r="J4" s="10"/>
      <c r="K4" s="12"/>
      <c r="L4" s="16"/>
      <c r="M4" s="16"/>
      <c r="N4" s="13"/>
      <c r="O4" s="13"/>
      <c r="P4" s="14"/>
      <c r="Q4" s="14"/>
      <c r="R4" s="5"/>
      <c r="S4" s="5"/>
      <c r="T4" s="5"/>
      <c r="U4" s="5"/>
      <c r="V4" s="5"/>
      <c r="W4" s="5"/>
      <c r="X4" s="5"/>
      <c r="Y4" s="5"/>
    </row>
    <row r="5" ht="26.25" customHeight="1">
      <c r="A5" s="15" t="str">
        <f>Language!C6</f>
        <v>Título del trabajo:</v>
      </c>
      <c r="D5" s="16" t="str">
        <f>RubricTutor!D5</f>
        <v/>
      </c>
      <c r="K5" s="17"/>
      <c r="L5" s="16"/>
      <c r="M5" s="16"/>
      <c r="N5" s="13"/>
      <c r="O5" s="13"/>
      <c r="P5" s="14"/>
      <c r="Q5" s="14"/>
      <c r="R5" s="5"/>
      <c r="S5" s="5"/>
      <c r="T5" s="5"/>
      <c r="U5" s="5"/>
      <c r="V5" s="5"/>
      <c r="W5" s="5"/>
      <c r="X5" s="5"/>
      <c r="Y5" s="5"/>
    </row>
    <row r="6" ht="26.25" customHeight="1">
      <c r="A6" s="15" t="str">
        <f>Language!C7</f>
        <v>Programa:		</v>
      </c>
      <c r="D6" s="16" t="str">
        <f>RubricTutor!D6</f>
        <v>Bachelor's degree in Techniques for Software Application Development</v>
      </c>
      <c r="K6" s="17"/>
      <c r="L6" s="16"/>
      <c r="M6" s="16"/>
      <c r="N6" s="13"/>
      <c r="O6" s="13"/>
      <c r="P6" s="14"/>
      <c r="Q6" s="14"/>
      <c r="R6" s="5"/>
      <c r="S6" s="5"/>
      <c r="T6" s="5"/>
      <c r="U6" s="5"/>
      <c r="V6" s="5"/>
      <c r="W6" s="5"/>
      <c r="X6" s="5"/>
      <c r="Y6" s="5"/>
    </row>
    <row r="7" ht="26.25" customHeight="1">
      <c r="A7" s="15" t="str">
        <f>Language!C9</f>
        <v>Tutor/a:</v>
      </c>
      <c r="D7" s="16" t="str">
        <f>RubricTutor!D8</f>
        <v/>
      </c>
      <c r="K7" s="17"/>
      <c r="L7" s="16"/>
      <c r="M7" s="16"/>
      <c r="N7" s="13"/>
      <c r="O7" s="13"/>
      <c r="P7" s="14"/>
      <c r="Q7" s="14"/>
      <c r="R7" s="5"/>
      <c r="S7" s="5"/>
      <c r="T7" s="5"/>
      <c r="U7" s="5"/>
      <c r="V7" s="5"/>
      <c r="W7" s="5"/>
      <c r="X7" s="5"/>
      <c r="Y7" s="5"/>
    </row>
    <row r="8" ht="26.25" customHeight="1">
      <c r="A8" s="15" t="str">
        <f>Language!C8</f>
        <v>Semestre:</v>
      </c>
      <c r="D8" s="18" t="str">
        <f>RubricTutor!D7</f>
        <v>2025-1</v>
      </c>
      <c r="K8" s="17"/>
      <c r="L8" s="16"/>
      <c r="M8" s="16"/>
      <c r="N8" s="13"/>
      <c r="O8" s="13"/>
      <c r="P8" s="14"/>
      <c r="Q8" s="14"/>
      <c r="R8" s="5"/>
      <c r="S8" s="5"/>
      <c r="T8" s="5"/>
      <c r="U8" s="5"/>
      <c r="V8" s="5"/>
      <c r="W8" s="5"/>
      <c r="X8" s="5"/>
      <c r="Y8" s="5"/>
    </row>
    <row r="9" ht="26.25" customHeight="1">
      <c r="A9" s="20" t="str">
        <f>Language!C11</f>
        <v>Evaluador/a 2:</v>
      </c>
      <c r="B9" s="21"/>
      <c r="C9" s="21"/>
      <c r="D9" s="116" t="str">
        <f>RubricTutor!D10</f>
        <v/>
      </c>
      <c r="E9" s="21"/>
      <c r="F9" s="21"/>
      <c r="G9" s="21"/>
      <c r="H9" s="21"/>
      <c r="I9" s="21"/>
      <c r="J9" s="21"/>
      <c r="K9" s="23"/>
      <c r="L9" s="16"/>
      <c r="M9" s="16"/>
      <c r="N9" s="13"/>
      <c r="O9" s="13"/>
      <c r="P9" s="14"/>
      <c r="Q9" s="14"/>
      <c r="R9" s="5"/>
      <c r="S9" s="5"/>
      <c r="T9" s="5"/>
      <c r="U9" s="5"/>
      <c r="V9" s="5"/>
      <c r="W9" s="5"/>
      <c r="X9" s="5"/>
      <c r="Y9" s="5"/>
    </row>
    <row r="10" ht="19.5" customHeight="1">
      <c r="H10" s="24"/>
      <c r="P10" s="5"/>
      <c r="Q10" s="5"/>
      <c r="R10" s="5"/>
      <c r="S10" s="5"/>
      <c r="T10" s="5"/>
      <c r="U10" s="5"/>
      <c r="V10" s="5"/>
      <c r="W10" s="5"/>
      <c r="X10" s="5"/>
      <c r="Y10" s="5"/>
    </row>
    <row r="11" ht="19.5" customHeight="1">
      <c r="A11" s="25" t="s">
        <v>2</v>
      </c>
      <c r="B11" s="26"/>
      <c r="C11" s="25" t="s">
        <v>3</v>
      </c>
      <c r="D11" s="26"/>
      <c r="E11" s="25" t="s">
        <v>4</v>
      </c>
      <c r="F11" s="26"/>
      <c r="G11" s="25" t="s">
        <v>5</v>
      </c>
      <c r="H11" s="26"/>
      <c r="I11" s="25" t="s">
        <v>6</v>
      </c>
      <c r="J11" s="27"/>
      <c r="K11" s="26"/>
      <c r="L11" s="28"/>
      <c r="M11" s="28"/>
      <c r="N11" s="28"/>
      <c r="O11" s="28"/>
      <c r="P11" s="28"/>
      <c r="Q11" s="28"/>
      <c r="R11" s="28"/>
      <c r="S11" s="28"/>
      <c r="T11" s="28"/>
      <c r="U11" s="28"/>
      <c r="V11" s="28"/>
      <c r="W11" s="28"/>
      <c r="X11" s="28"/>
      <c r="Y11" s="28"/>
    </row>
    <row r="12" ht="19.5" customHeight="1">
      <c r="A12" s="29">
        <v>10.0</v>
      </c>
      <c r="B12" s="29">
        <v>9.0</v>
      </c>
      <c r="C12" s="29">
        <v>8.0</v>
      </c>
      <c r="D12" s="29">
        <v>7.0</v>
      </c>
      <c r="E12" s="29">
        <v>6.0</v>
      </c>
      <c r="F12" s="29">
        <v>5.0</v>
      </c>
      <c r="G12" s="29">
        <v>4.0</v>
      </c>
      <c r="H12" s="29">
        <v>3.0</v>
      </c>
      <c r="I12" s="29">
        <v>2.0</v>
      </c>
      <c r="J12" s="29">
        <v>1.0</v>
      </c>
      <c r="K12" s="29">
        <v>0.0</v>
      </c>
      <c r="P12" s="5"/>
      <c r="Q12" s="5"/>
      <c r="R12" s="5"/>
      <c r="S12" s="5"/>
      <c r="T12" s="5"/>
      <c r="U12" s="5"/>
      <c r="V12" s="5"/>
      <c r="W12" s="5"/>
      <c r="X12" s="5"/>
      <c r="Y12" s="5"/>
    </row>
    <row r="13" ht="24.75" customHeight="1">
      <c r="A13" s="5"/>
      <c r="B13" s="5"/>
      <c r="C13" s="5"/>
      <c r="E13" s="5"/>
      <c r="G13" s="5"/>
      <c r="I13" s="5"/>
      <c r="K13" s="5"/>
      <c r="M13" s="28"/>
      <c r="O13" s="31"/>
    </row>
    <row r="14">
      <c r="A14" s="32" t="str">
        <f>Language!C61</f>
        <v>Evaluación del Evaluador/a 2</v>
      </c>
      <c r="B14" s="33"/>
      <c r="C14" s="33"/>
      <c r="D14" s="33"/>
      <c r="E14" s="33"/>
      <c r="F14" s="117"/>
      <c r="G14" s="118" t="str">
        <f>Language!C63</f>
        <v>Entrega final y defensa</v>
      </c>
      <c r="K14" s="31"/>
    </row>
    <row r="15">
      <c r="A15" s="38" t="str">
        <f>Language!C31</f>
        <v>Aspectos metodológicos</v>
      </c>
      <c r="B15" s="27"/>
      <c r="C15" s="27"/>
      <c r="D15" s="27"/>
      <c r="E15" s="27"/>
      <c r="F15" s="27"/>
      <c r="G15" s="119"/>
      <c r="H15" s="120"/>
      <c r="I15" s="120"/>
      <c r="J15" s="120"/>
      <c r="K15" s="96"/>
      <c r="M15" s="56"/>
      <c r="N15" s="56"/>
      <c r="O15" s="56"/>
      <c r="P15" s="56"/>
      <c r="Q15" s="56"/>
      <c r="R15" s="5"/>
      <c r="S15" s="5"/>
      <c r="T15" s="5"/>
      <c r="U15" s="5"/>
    </row>
    <row r="16">
      <c r="A16" s="121" t="str">
        <f>Language!C32</f>
        <v>Definición de unos objetivos claros, concretos, realistas y adecuados</v>
      </c>
      <c r="F16" s="17"/>
      <c r="G16" s="122" t="s">
        <v>9</v>
      </c>
      <c r="H16" s="123"/>
      <c r="I16" s="56"/>
      <c r="K16" s="31"/>
      <c r="L16" s="123"/>
      <c r="M16" s="56"/>
      <c r="N16" s="56"/>
      <c r="O16" s="56"/>
      <c r="P16" s="56"/>
      <c r="Q16" s="56"/>
      <c r="R16" s="57"/>
      <c r="S16" s="57"/>
      <c r="T16" s="57"/>
      <c r="U16" s="57"/>
    </row>
    <row r="17">
      <c r="A17" s="124" t="str">
        <f>Language!C33</f>
        <v>Definición de la metodología, planificación temporal y de recursos</v>
      </c>
      <c r="B17" s="91"/>
      <c r="C17" s="91"/>
      <c r="D17" s="91"/>
      <c r="E17" s="91"/>
      <c r="F17" s="125"/>
      <c r="G17" s="122" t="s">
        <v>9</v>
      </c>
      <c r="I17" s="56"/>
      <c r="K17" s="126"/>
      <c r="M17" s="56"/>
      <c r="N17" s="56"/>
      <c r="O17" s="56"/>
      <c r="P17" s="56"/>
      <c r="Q17" s="56"/>
      <c r="R17" s="61"/>
      <c r="S17" s="61"/>
      <c r="T17" s="61"/>
      <c r="U17" s="61"/>
    </row>
    <row r="18">
      <c r="A18" s="38" t="str">
        <f>Language!C34</f>
        <v>Especificación y diseño</v>
      </c>
      <c r="B18" s="27"/>
      <c r="C18" s="27"/>
      <c r="D18" s="27"/>
      <c r="E18" s="27"/>
      <c r="F18" s="27"/>
      <c r="G18" s="119"/>
      <c r="H18" s="96"/>
      <c r="I18" s="56"/>
      <c r="J18" s="96"/>
      <c r="K18" s="120"/>
      <c r="M18" s="56"/>
      <c r="N18" s="56"/>
      <c r="O18" s="56"/>
      <c r="P18" s="56"/>
      <c r="Q18" s="56"/>
      <c r="R18" s="5"/>
      <c r="S18" s="5"/>
      <c r="T18" s="5"/>
      <c r="U18" s="5"/>
    </row>
    <row r="19">
      <c r="A19" s="127" t="str">
        <f>Language!C35</f>
        <v>Estudio previo e identificación de los aspectos relevantes del problema y de su solución (e.g. estado del arte, estudio de mercado)</v>
      </c>
      <c r="B19" s="45"/>
      <c r="C19" s="45"/>
      <c r="D19" s="45"/>
      <c r="E19" s="45"/>
      <c r="F19" s="128"/>
      <c r="G19" s="122" t="s">
        <v>9</v>
      </c>
      <c r="H19" s="120"/>
      <c r="I19" s="56"/>
      <c r="J19" s="120"/>
      <c r="K19" s="96"/>
      <c r="M19" s="56"/>
      <c r="N19" s="56"/>
      <c r="O19" s="56"/>
      <c r="P19" s="56"/>
      <c r="Q19" s="56"/>
      <c r="R19" s="5"/>
      <c r="S19" s="5"/>
      <c r="T19" s="5"/>
      <c r="U19" s="5"/>
    </row>
    <row r="20">
      <c r="A20" s="129" t="str">
        <f>Language!C36</f>
        <v>Análisis de requerimientos</v>
      </c>
      <c r="B20" s="81"/>
      <c r="C20" s="81"/>
      <c r="D20" s="81"/>
      <c r="E20" s="81"/>
      <c r="F20" s="130"/>
      <c r="G20" s="122" t="s">
        <v>9</v>
      </c>
      <c r="H20" s="120"/>
      <c r="I20" s="56"/>
      <c r="J20" s="120"/>
      <c r="K20" s="96"/>
      <c r="M20" s="56"/>
      <c r="N20" s="56"/>
      <c r="O20" s="56"/>
      <c r="P20" s="56"/>
      <c r="Q20" s="56"/>
      <c r="R20" s="5"/>
      <c r="S20" s="5"/>
      <c r="T20" s="5"/>
      <c r="U20" s="5"/>
    </row>
    <row r="21" ht="15.75" customHeight="1">
      <c r="A21" s="131" t="str">
        <f>Language!C37</f>
        <v>Diseño adecuado de la propuesta</v>
      </c>
      <c r="F21" s="17"/>
      <c r="G21" s="122" t="s">
        <v>9</v>
      </c>
      <c r="H21" s="120"/>
      <c r="I21" s="56"/>
      <c r="J21" s="120"/>
      <c r="K21" s="96"/>
      <c r="L21" s="5"/>
      <c r="M21" s="56"/>
      <c r="N21" s="56"/>
      <c r="O21" s="56"/>
      <c r="P21" s="56"/>
      <c r="Q21" s="56"/>
      <c r="R21" s="5"/>
      <c r="S21" s="5"/>
      <c r="T21" s="5"/>
      <c r="U21" s="5"/>
    </row>
    <row r="22" ht="15.75" customHeight="1">
      <c r="A22" s="124" t="str">
        <f>Language!C38</f>
        <v>Elección de herramientas, tecnologías y fuentes de información adecuadas para el desarrollo del trabajo</v>
      </c>
      <c r="B22" s="91"/>
      <c r="C22" s="91"/>
      <c r="D22" s="91"/>
      <c r="E22" s="91"/>
      <c r="F22" s="125"/>
      <c r="G22" s="122" t="s">
        <v>9</v>
      </c>
      <c r="H22" s="120"/>
      <c r="I22" s="56"/>
      <c r="J22" s="120"/>
      <c r="K22" s="96"/>
      <c r="L22" s="5"/>
      <c r="M22" s="5"/>
      <c r="N22" s="5"/>
      <c r="O22" s="5"/>
      <c r="P22" s="5"/>
      <c r="Q22" s="5"/>
      <c r="R22" s="5"/>
      <c r="S22" s="5"/>
      <c r="T22" s="5"/>
      <c r="U22" s="5"/>
    </row>
    <row r="23" ht="15.75" customHeight="1">
      <c r="A23" s="132" t="str">
        <f>Language!C39</f>
        <v>Grado de análisis y tratamiento del impacto ético-social, de sostenibilidad y de diversidad del trabajo</v>
      </c>
      <c r="B23" s="91"/>
      <c r="C23" s="91"/>
      <c r="D23" s="91"/>
      <c r="E23" s="91"/>
      <c r="F23" s="91"/>
      <c r="G23" s="122" t="s">
        <v>9</v>
      </c>
      <c r="H23" s="120"/>
      <c r="I23" s="56"/>
      <c r="J23" s="120"/>
      <c r="K23" s="96"/>
      <c r="L23" s="5"/>
      <c r="M23" s="5"/>
      <c r="N23" s="5"/>
      <c r="O23" s="5"/>
      <c r="P23" s="5"/>
      <c r="Q23" s="5"/>
      <c r="R23" s="5"/>
      <c r="S23" s="5"/>
      <c r="T23" s="5"/>
      <c r="U23" s="5"/>
    </row>
    <row r="24" ht="15.75" customHeight="1">
      <c r="A24" s="38" t="str">
        <f>Language!C40</f>
        <v>Ejecución e implementación del proyecto</v>
      </c>
      <c r="B24" s="27"/>
      <c r="C24" s="27"/>
      <c r="D24" s="27"/>
      <c r="E24" s="27"/>
      <c r="F24" s="27"/>
      <c r="G24" s="119"/>
      <c r="H24" s="96"/>
      <c r="I24" s="56"/>
      <c r="J24" s="96"/>
      <c r="K24" s="120"/>
      <c r="L24" s="111"/>
      <c r="M24" s="111"/>
      <c r="N24" s="5"/>
      <c r="O24" s="5"/>
      <c r="P24" s="112"/>
      <c r="Q24" s="5"/>
      <c r="R24" s="5"/>
      <c r="S24" s="5"/>
      <c r="T24" s="5"/>
      <c r="U24" s="5"/>
      <c r="V24" s="5"/>
      <c r="W24" s="5"/>
      <c r="X24" s="5"/>
      <c r="Y24" s="5"/>
    </row>
    <row r="25" ht="15.75" customHeight="1">
      <c r="A25" s="127" t="str">
        <f>Language!C42</f>
        <v>Calidad de la contribución técnica y/o científica del proyecto. Calidad de la solución/producto en desarrollo/obtenido</v>
      </c>
      <c r="B25" s="45"/>
      <c r="C25" s="45"/>
      <c r="D25" s="45"/>
      <c r="E25" s="45"/>
      <c r="F25" s="128"/>
      <c r="G25" s="122" t="s">
        <v>9</v>
      </c>
      <c r="H25" s="120"/>
      <c r="I25" s="56"/>
      <c r="J25" s="120"/>
      <c r="K25" s="96"/>
      <c r="M25" s="56"/>
      <c r="N25" s="56"/>
      <c r="O25" s="56"/>
      <c r="P25" s="56"/>
      <c r="Q25" s="56"/>
      <c r="R25" s="5"/>
      <c r="S25" s="5"/>
      <c r="T25" s="5"/>
      <c r="U25" s="5"/>
    </row>
    <row r="26" ht="15.75" customHeight="1">
      <c r="A26" s="129" t="str">
        <f>Language!C43</f>
        <v>Grado de innovación de la solución presentada</v>
      </c>
      <c r="B26" s="81"/>
      <c r="C26" s="81"/>
      <c r="D26" s="81"/>
      <c r="E26" s="81"/>
      <c r="F26" s="130"/>
      <c r="G26" s="122" t="s">
        <v>9</v>
      </c>
      <c r="H26" s="120"/>
      <c r="I26" s="56"/>
      <c r="J26" s="120"/>
      <c r="K26" s="96"/>
      <c r="M26" s="56"/>
      <c r="N26" s="56"/>
      <c r="O26" s="56"/>
      <c r="P26" s="56"/>
      <c r="Q26" s="56"/>
      <c r="R26" s="5"/>
      <c r="S26" s="5"/>
      <c r="T26" s="5"/>
      <c r="U26" s="5"/>
    </row>
    <row r="27" ht="15.75" customHeight="1">
      <c r="A27" s="124" t="str">
        <f>Language!C44</f>
        <v>Conclusiones y discusión de los resultados</v>
      </c>
      <c r="B27" s="91"/>
      <c r="C27" s="91"/>
      <c r="D27" s="91"/>
      <c r="E27" s="91"/>
      <c r="F27" s="125"/>
      <c r="G27" s="122" t="s">
        <v>9</v>
      </c>
      <c r="H27" s="120"/>
      <c r="I27" s="56"/>
      <c r="J27" s="120"/>
      <c r="K27" s="96"/>
      <c r="M27" s="56"/>
      <c r="N27" s="56"/>
      <c r="O27" s="56"/>
      <c r="P27" s="56"/>
      <c r="Q27" s="56"/>
      <c r="R27" s="5"/>
      <c r="S27" s="5"/>
      <c r="T27" s="5"/>
      <c r="U27" s="5"/>
    </row>
    <row r="28" ht="15.75" customHeight="1">
      <c r="A28" s="38" t="str">
        <f>Language!C45</f>
        <v>Aspectos formales de la memoria</v>
      </c>
      <c r="B28" s="27"/>
      <c r="C28" s="27"/>
      <c r="D28" s="27"/>
      <c r="E28" s="27"/>
      <c r="F28" s="27"/>
      <c r="G28" s="119"/>
      <c r="H28" s="96"/>
      <c r="I28" s="56"/>
      <c r="J28" s="96"/>
      <c r="K28" s="120"/>
      <c r="L28" s="5"/>
      <c r="M28" s="5"/>
      <c r="N28" s="5"/>
      <c r="O28" s="5"/>
      <c r="P28" s="5"/>
      <c r="Q28" s="5"/>
      <c r="R28" s="5"/>
      <c r="S28" s="5"/>
      <c r="T28" s="5"/>
      <c r="U28" s="5"/>
      <c r="V28" s="5"/>
      <c r="W28" s="5"/>
      <c r="X28" s="5"/>
      <c r="Y28" s="5"/>
    </row>
    <row r="29" ht="15.75" customHeight="1">
      <c r="A29" s="127" t="str">
        <f>Language!C46</f>
        <v>Redacción adecuada, utilización flexible de un lenguaje inclusivo, y organización clara y correcta del contenido</v>
      </c>
      <c r="B29" s="45"/>
      <c r="C29" s="45"/>
      <c r="D29" s="45"/>
      <c r="E29" s="45"/>
      <c r="F29" s="128"/>
      <c r="G29" s="122" t="s">
        <v>9</v>
      </c>
      <c r="H29" s="120"/>
      <c r="I29" s="56"/>
      <c r="J29" s="120"/>
      <c r="K29" s="96"/>
      <c r="L29" s="5"/>
      <c r="M29" s="5"/>
      <c r="N29" s="5"/>
      <c r="O29" s="5"/>
      <c r="P29" s="5"/>
      <c r="Q29" s="5"/>
      <c r="R29" s="5"/>
      <c r="S29" s="5"/>
      <c r="T29" s="5"/>
      <c r="U29" s="5"/>
      <c r="V29" s="5"/>
      <c r="W29" s="5"/>
      <c r="X29" s="5"/>
      <c r="Y29" s="5"/>
    </row>
    <row r="30" ht="15.75" customHeight="1">
      <c r="A30" s="124" t="str">
        <f>Language!C47</f>
        <v>Fuentes de información y referencias bibliográficas</v>
      </c>
      <c r="B30" s="91"/>
      <c r="C30" s="91"/>
      <c r="D30" s="91"/>
      <c r="E30" s="91"/>
      <c r="F30" s="125"/>
      <c r="G30" s="122" t="s">
        <v>9</v>
      </c>
      <c r="H30" s="120"/>
      <c r="I30" s="56"/>
      <c r="J30" s="120"/>
      <c r="K30" s="96"/>
      <c r="L30" s="5"/>
      <c r="M30" s="5"/>
      <c r="N30" s="5"/>
      <c r="O30" s="5"/>
      <c r="P30" s="5"/>
      <c r="Q30" s="5"/>
      <c r="R30" s="5"/>
      <c r="S30" s="5"/>
      <c r="T30" s="5"/>
      <c r="U30" s="5"/>
      <c r="V30" s="5"/>
      <c r="W30" s="5"/>
      <c r="X30" s="5"/>
      <c r="Y30" s="5"/>
    </row>
    <row r="31" ht="15.75" customHeight="1">
      <c r="A31" s="38" t="str">
        <f>Language!C48</f>
        <v>Defensa del proyecto</v>
      </c>
      <c r="B31" s="27"/>
      <c r="C31" s="27"/>
      <c r="D31" s="27"/>
      <c r="E31" s="27"/>
      <c r="F31" s="27"/>
      <c r="G31" s="119"/>
      <c r="H31" s="96"/>
      <c r="I31" s="56"/>
      <c r="J31" s="96"/>
      <c r="K31" s="120"/>
      <c r="L31" s="5"/>
      <c r="M31" s="5"/>
      <c r="N31" s="5"/>
      <c r="O31" s="5"/>
      <c r="P31" s="5"/>
      <c r="Q31" s="5"/>
      <c r="R31" s="5"/>
      <c r="S31" s="5"/>
      <c r="T31" s="5"/>
      <c r="U31" s="5"/>
      <c r="V31" s="5"/>
      <c r="W31" s="5"/>
      <c r="X31" s="5"/>
      <c r="Y31" s="5"/>
    </row>
    <row r="32" ht="15.75" customHeight="1">
      <c r="A32" s="127" t="str">
        <f>Language!C49</f>
        <v>Calidad de la presentación oral y de los recursos visuales</v>
      </c>
      <c r="B32" s="45"/>
      <c r="C32" s="45"/>
      <c r="D32" s="45"/>
      <c r="E32" s="45"/>
      <c r="F32" s="128"/>
      <c r="G32" s="122" t="s">
        <v>9</v>
      </c>
      <c r="H32" s="120"/>
      <c r="I32" s="56"/>
      <c r="J32" s="120"/>
      <c r="L32" s="5"/>
      <c r="M32" s="5"/>
      <c r="N32" s="5"/>
      <c r="O32" s="5"/>
      <c r="P32" s="5"/>
      <c r="Q32" s="5"/>
      <c r="R32" s="5"/>
      <c r="S32" s="5"/>
      <c r="T32" s="5"/>
      <c r="U32" s="5"/>
      <c r="V32" s="5"/>
      <c r="W32" s="5"/>
      <c r="X32" s="5"/>
      <c r="Y32" s="5"/>
    </row>
    <row r="33" ht="15.75" customHeight="1">
      <c r="A33" s="131" t="str">
        <f>Language!C50</f>
        <v>Respuesta clara y fundamentada a las preguntas de la comisión</v>
      </c>
      <c r="F33" s="17"/>
      <c r="G33" s="122" t="s">
        <v>9</v>
      </c>
      <c r="I33" s="56"/>
      <c r="K33" s="5"/>
      <c r="L33" s="5"/>
      <c r="M33" s="5"/>
      <c r="N33" s="5"/>
      <c r="O33" s="5"/>
      <c r="P33" s="5"/>
      <c r="Q33" s="5"/>
      <c r="R33" s="5"/>
      <c r="S33" s="5"/>
      <c r="T33" s="5"/>
      <c r="U33" s="5"/>
      <c r="V33" s="5"/>
      <c r="W33" s="5"/>
      <c r="X33" s="5"/>
      <c r="Y33" s="5"/>
    </row>
    <row r="34" ht="15.75" customHeight="1">
      <c r="A34" s="105" t="str">
        <f>Language!C27</f>
        <v>Final</v>
      </c>
      <c r="B34" s="27"/>
      <c r="C34" s="27"/>
      <c r="D34" s="27"/>
      <c r="E34" s="27"/>
      <c r="F34" s="26"/>
      <c r="G34" s="133">
        <f>ROUND(SUMPRODUCT(G16:G33,DefenseSummary!B9:B26)/SUM(DefenseSummary!B9:B26),1)</f>
        <v>0</v>
      </c>
      <c r="H34" s="5"/>
      <c r="I34" s="140"/>
      <c r="J34" s="5"/>
      <c r="K34" s="5"/>
      <c r="L34" s="5"/>
      <c r="M34" s="5"/>
      <c r="N34" s="5"/>
      <c r="O34" s="5"/>
      <c r="P34" s="5"/>
      <c r="Q34" s="5"/>
      <c r="R34" s="5"/>
      <c r="S34" s="5"/>
      <c r="T34" s="5"/>
      <c r="U34" s="5"/>
      <c r="V34" s="5"/>
      <c r="W34" s="5"/>
      <c r="X34" s="5"/>
      <c r="Y34" s="5"/>
    </row>
    <row r="35" ht="15.75" customHeight="1">
      <c r="A35" s="107"/>
      <c r="G35" s="135" t="str">
        <f>IF(G34&gt;=9,"A",IF(G34&gt;=7,"B",IF(G34&gt;=5,"C+",IF(G34&gt;=3,"C-","D"))))</f>
        <v>D</v>
      </c>
      <c r="H35" s="5"/>
      <c r="I35" s="5"/>
      <c r="J35" s="5"/>
      <c r="K35" s="5"/>
      <c r="L35" s="5"/>
      <c r="M35" s="5"/>
      <c r="N35" s="5"/>
      <c r="O35" s="5"/>
      <c r="P35" s="5"/>
      <c r="Q35" s="5"/>
      <c r="R35" s="5"/>
      <c r="S35" s="5"/>
      <c r="T35" s="5"/>
      <c r="U35" s="5"/>
      <c r="V35" s="5"/>
      <c r="W35" s="5"/>
      <c r="X35" s="5"/>
      <c r="Y35" s="5"/>
    </row>
    <row r="36" ht="15.75" customHeight="1">
      <c r="A36" s="110"/>
      <c r="B36" s="110"/>
      <c r="C36" s="110"/>
      <c r="D36" s="110"/>
      <c r="E36" s="110"/>
      <c r="F36" s="110"/>
      <c r="G36" s="110"/>
      <c r="H36" s="110"/>
      <c r="I36" s="110"/>
      <c r="J36" s="110"/>
      <c r="K36" s="110"/>
      <c r="L36" s="5"/>
      <c r="M36" s="5"/>
      <c r="N36" s="5"/>
      <c r="O36" s="5"/>
      <c r="P36" s="5"/>
      <c r="Q36" s="5"/>
      <c r="R36" s="5"/>
      <c r="S36" s="5"/>
      <c r="T36" s="5"/>
      <c r="U36" s="5"/>
      <c r="V36" s="5"/>
      <c r="W36" s="5"/>
      <c r="X36" s="5"/>
      <c r="Y36" s="5"/>
    </row>
    <row r="37" ht="15.75" customHeight="1">
      <c r="A37" s="136" t="str">
        <f>Language!C64</f>
        <v>Marca esta casilla si crees que este trabajo merece ser considerado para matrícula de honor</v>
      </c>
      <c r="B37" s="4"/>
      <c r="C37" s="4"/>
      <c r="D37" s="4"/>
      <c r="E37" s="4"/>
      <c r="F37" s="4"/>
      <c r="G37" s="110" t="b">
        <v>0</v>
      </c>
      <c r="H37" s="110"/>
      <c r="I37" s="110"/>
      <c r="J37" s="110"/>
      <c r="K37" s="110"/>
      <c r="L37" s="5"/>
      <c r="M37" s="5"/>
      <c r="N37" s="5"/>
      <c r="O37" s="5"/>
      <c r="P37" s="5"/>
      <c r="Q37" s="5"/>
      <c r="R37" s="5"/>
      <c r="S37" s="5"/>
      <c r="T37" s="5"/>
      <c r="U37" s="5"/>
      <c r="V37" s="5"/>
      <c r="W37" s="5"/>
      <c r="X37" s="5"/>
      <c r="Y37" s="5"/>
    </row>
    <row r="38" ht="15.75" customHeight="1">
      <c r="A38" s="110"/>
      <c r="B38" s="110"/>
      <c r="C38" s="110"/>
      <c r="D38" s="110"/>
      <c r="E38" s="110"/>
      <c r="F38" s="110"/>
      <c r="G38" s="110"/>
      <c r="H38" s="110"/>
      <c r="I38" s="110"/>
      <c r="J38" s="110"/>
      <c r="K38" s="110"/>
      <c r="L38" s="5"/>
      <c r="M38" s="5"/>
      <c r="N38" s="5"/>
      <c r="O38" s="5"/>
      <c r="P38" s="5"/>
      <c r="Q38" s="5"/>
      <c r="R38" s="5"/>
      <c r="S38" s="5"/>
      <c r="T38" s="5"/>
      <c r="U38" s="5"/>
      <c r="V38" s="5"/>
      <c r="W38" s="5"/>
      <c r="X38" s="5"/>
      <c r="Y38" s="5"/>
    </row>
    <row r="39" ht="15.75" customHeight="1">
      <c r="A39" s="113" t="str">
        <f>Language!C59</f>
        <v>Observaciones y recomendaciones:</v>
      </c>
      <c r="B39" s="33"/>
      <c r="C39" s="33"/>
      <c r="D39" s="33"/>
      <c r="E39" s="33"/>
      <c r="F39" s="33"/>
      <c r="G39" s="33"/>
      <c r="H39" s="33"/>
      <c r="I39" s="33"/>
      <c r="J39" s="33"/>
      <c r="K39" s="34"/>
      <c r="L39" s="5"/>
      <c r="M39" s="5"/>
      <c r="N39" s="5"/>
      <c r="O39" s="5"/>
      <c r="P39" s="5"/>
      <c r="Q39" s="5"/>
      <c r="R39" s="5"/>
      <c r="S39" s="5"/>
      <c r="T39" s="5"/>
      <c r="U39" s="5"/>
      <c r="V39" s="5"/>
      <c r="W39" s="5"/>
      <c r="X39" s="5"/>
      <c r="Y39" s="5"/>
    </row>
    <row r="40" ht="63.75" customHeight="1">
      <c r="A40" s="137"/>
      <c r="B40" s="138"/>
      <c r="C40" s="138"/>
      <c r="D40" s="138"/>
      <c r="E40" s="138"/>
      <c r="F40" s="138"/>
      <c r="G40" s="138"/>
      <c r="H40" s="138"/>
      <c r="I40" s="138"/>
      <c r="J40" s="138"/>
      <c r="K40" s="139"/>
      <c r="L40" s="5"/>
      <c r="M40" s="5"/>
      <c r="N40" s="5"/>
      <c r="O40" s="5"/>
      <c r="P40" s="5"/>
      <c r="Q40" s="5"/>
      <c r="R40" s="5"/>
      <c r="S40" s="5"/>
      <c r="T40" s="5"/>
      <c r="U40" s="5"/>
      <c r="V40" s="5"/>
      <c r="W40" s="5"/>
      <c r="X40" s="5"/>
      <c r="Y40" s="5"/>
    </row>
    <row r="41" ht="15.75" customHeight="1">
      <c r="A41" s="5"/>
      <c r="B41" s="5"/>
      <c r="C41" s="5"/>
      <c r="D41" s="5"/>
      <c r="E41" s="5"/>
      <c r="F41" s="5"/>
      <c r="G41" s="112"/>
      <c r="H41" s="112"/>
      <c r="I41" s="112"/>
      <c r="J41" s="112"/>
      <c r="K41" s="112"/>
      <c r="L41" s="5"/>
      <c r="M41" s="5"/>
      <c r="N41" s="5"/>
      <c r="O41" s="5"/>
      <c r="P41" s="5"/>
      <c r="Q41" s="5"/>
      <c r="R41" s="5"/>
      <c r="S41" s="5"/>
      <c r="T41" s="5"/>
      <c r="U41" s="5"/>
      <c r="V41" s="5"/>
      <c r="W41" s="5"/>
      <c r="X41" s="5"/>
      <c r="Y41" s="5"/>
    </row>
    <row r="42" ht="15.75" customHeight="1">
      <c r="A42" s="5"/>
      <c r="B42" s="5"/>
      <c r="C42" s="5"/>
      <c r="D42" s="5"/>
      <c r="E42" s="5"/>
      <c r="F42" s="5"/>
      <c r="G42" s="112"/>
      <c r="H42" s="112"/>
      <c r="I42" s="112"/>
      <c r="J42" s="112"/>
      <c r="K42" s="112"/>
      <c r="L42" s="5"/>
      <c r="M42" s="5"/>
      <c r="N42" s="5"/>
      <c r="O42" s="5"/>
      <c r="P42" s="5"/>
      <c r="Q42" s="5"/>
      <c r="R42" s="5"/>
      <c r="S42" s="5"/>
      <c r="T42" s="5"/>
      <c r="U42" s="5"/>
      <c r="V42" s="5"/>
      <c r="W42" s="5"/>
      <c r="X42" s="5"/>
      <c r="Y42" s="5"/>
    </row>
    <row r="43" ht="15.75" customHeight="1">
      <c r="A43" s="5"/>
      <c r="B43" s="5"/>
      <c r="C43" s="5"/>
      <c r="D43" s="5"/>
      <c r="E43" s="5"/>
      <c r="F43" s="5"/>
      <c r="G43" s="112"/>
      <c r="H43" s="112"/>
      <c r="I43" s="112"/>
      <c r="J43" s="112"/>
      <c r="K43" s="112"/>
      <c r="L43" s="5"/>
      <c r="M43" s="5"/>
      <c r="N43" s="5"/>
      <c r="O43" s="5"/>
      <c r="P43" s="5"/>
      <c r="Q43" s="5"/>
      <c r="R43" s="5"/>
      <c r="S43" s="5"/>
      <c r="T43" s="5"/>
      <c r="U43" s="5"/>
      <c r="V43" s="5"/>
      <c r="W43" s="5"/>
      <c r="X43" s="5"/>
      <c r="Y43" s="5"/>
    </row>
    <row r="44" ht="15.75" customHeight="1">
      <c r="A44" s="5"/>
      <c r="B44" s="5"/>
      <c r="C44" s="5"/>
      <c r="D44" s="5"/>
      <c r="E44" s="5"/>
      <c r="F44" s="5"/>
      <c r="G44" s="112"/>
      <c r="H44" s="112"/>
      <c r="I44" s="112"/>
      <c r="J44" s="112"/>
      <c r="K44" s="112"/>
      <c r="L44" s="5"/>
      <c r="M44" s="5"/>
      <c r="N44" s="5"/>
      <c r="O44" s="5"/>
      <c r="P44" s="5"/>
      <c r="Q44" s="5"/>
      <c r="R44" s="5"/>
      <c r="S44" s="5"/>
      <c r="T44" s="5"/>
      <c r="U44" s="5"/>
      <c r="V44" s="5"/>
      <c r="W44" s="5"/>
      <c r="X44" s="5"/>
      <c r="Y44" s="5"/>
    </row>
    <row r="45" ht="15.75" customHeight="1">
      <c r="A45" s="5"/>
      <c r="B45" s="5"/>
      <c r="C45" s="5"/>
      <c r="D45" s="5"/>
      <c r="E45" s="5"/>
      <c r="F45" s="5"/>
      <c r="G45" s="112"/>
      <c r="H45" s="112"/>
      <c r="I45" s="112"/>
      <c r="J45" s="112"/>
      <c r="K45" s="112"/>
      <c r="L45" s="5"/>
      <c r="M45" s="5"/>
      <c r="N45" s="5"/>
      <c r="O45" s="5"/>
      <c r="P45" s="5"/>
      <c r="Q45" s="5"/>
      <c r="R45" s="5"/>
      <c r="S45" s="5"/>
      <c r="T45" s="5"/>
      <c r="U45" s="5"/>
      <c r="V45" s="5"/>
      <c r="W45" s="5"/>
      <c r="X45" s="5"/>
      <c r="Y45" s="5"/>
    </row>
    <row r="46" ht="15.75" customHeight="1">
      <c r="A46" s="5"/>
      <c r="B46" s="5"/>
      <c r="C46" s="5"/>
      <c r="D46" s="5"/>
      <c r="E46" s="5"/>
      <c r="F46" s="5"/>
      <c r="G46" s="112"/>
      <c r="H46" s="112"/>
      <c r="I46" s="112"/>
      <c r="J46" s="112"/>
      <c r="K46" s="112"/>
      <c r="L46" s="5"/>
      <c r="M46" s="5"/>
      <c r="N46" s="5"/>
      <c r="O46" s="5"/>
      <c r="P46" s="5"/>
      <c r="Q46" s="5"/>
      <c r="R46" s="5"/>
      <c r="S46" s="5"/>
      <c r="T46" s="5"/>
      <c r="U46" s="5"/>
      <c r="V46" s="5"/>
      <c r="W46" s="5"/>
      <c r="X46" s="5"/>
      <c r="Y46" s="5"/>
    </row>
    <row r="47" ht="15.75" customHeight="1">
      <c r="A47" s="5"/>
      <c r="B47" s="5"/>
      <c r="C47" s="5"/>
      <c r="D47" s="5"/>
      <c r="E47" s="5"/>
      <c r="F47" s="5"/>
      <c r="G47" s="112"/>
      <c r="H47" s="112"/>
      <c r="I47" s="112"/>
      <c r="J47" s="112"/>
      <c r="K47" s="112"/>
      <c r="L47" s="5"/>
      <c r="M47" s="5"/>
      <c r="N47" s="5"/>
      <c r="O47" s="5"/>
      <c r="P47" s="5"/>
      <c r="Q47" s="5"/>
      <c r="R47" s="5"/>
      <c r="S47" s="5"/>
      <c r="T47" s="5"/>
      <c r="U47" s="5"/>
      <c r="V47" s="5"/>
      <c r="W47" s="5"/>
      <c r="X47" s="5"/>
      <c r="Y47" s="5"/>
    </row>
    <row r="48" ht="15.75" customHeight="1">
      <c r="A48" s="5"/>
      <c r="B48" s="5"/>
      <c r="C48" s="5"/>
      <c r="D48" s="5"/>
      <c r="E48" s="5"/>
      <c r="F48" s="5"/>
      <c r="G48" s="112"/>
      <c r="H48" s="112"/>
      <c r="I48" s="112"/>
      <c r="J48" s="112"/>
      <c r="K48" s="112"/>
      <c r="L48" s="5"/>
      <c r="M48" s="5"/>
      <c r="N48" s="5"/>
      <c r="O48" s="5"/>
      <c r="P48" s="5"/>
      <c r="Q48" s="5"/>
      <c r="R48" s="5"/>
      <c r="S48" s="5"/>
      <c r="T48" s="5"/>
      <c r="U48" s="5"/>
      <c r="V48" s="5"/>
      <c r="W48" s="5"/>
      <c r="X48" s="5"/>
      <c r="Y48" s="5"/>
    </row>
    <row r="49" ht="15.75" customHeight="1">
      <c r="A49" s="5"/>
      <c r="B49" s="5"/>
      <c r="C49" s="5"/>
      <c r="D49" s="5"/>
      <c r="E49" s="5"/>
      <c r="F49" s="5"/>
      <c r="G49" s="112"/>
      <c r="H49" s="112"/>
      <c r="I49" s="112"/>
      <c r="J49" s="112"/>
      <c r="K49" s="112"/>
      <c r="L49" s="5"/>
      <c r="M49" s="5"/>
      <c r="N49" s="5"/>
      <c r="O49" s="5"/>
      <c r="P49" s="5"/>
      <c r="Q49" s="5"/>
      <c r="R49" s="5"/>
      <c r="S49" s="5"/>
      <c r="T49" s="5"/>
      <c r="U49" s="5"/>
      <c r="V49" s="5"/>
      <c r="W49" s="5"/>
      <c r="X49" s="5"/>
      <c r="Y49" s="5"/>
    </row>
    <row r="50" ht="15.75" customHeight="1">
      <c r="A50" s="5"/>
      <c r="B50" s="5"/>
      <c r="C50" s="5"/>
      <c r="D50" s="5"/>
      <c r="E50" s="5"/>
      <c r="F50" s="5"/>
      <c r="G50" s="112"/>
      <c r="H50" s="112"/>
      <c r="I50" s="112"/>
      <c r="J50" s="112"/>
      <c r="K50" s="112"/>
      <c r="L50" s="5"/>
      <c r="M50" s="5"/>
      <c r="N50" s="5"/>
      <c r="O50" s="5"/>
      <c r="P50" s="5"/>
      <c r="Q50" s="5"/>
      <c r="R50" s="5"/>
      <c r="S50" s="5"/>
      <c r="T50" s="5"/>
      <c r="U50" s="5"/>
      <c r="V50" s="5"/>
      <c r="W50" s="5"/>
      <c r="X50" s="5"/>
      <c r="Y50" s="5"/>
    </row>
    <row r="51" ht="15.75" customHeight="1">
      <c r="A51" s="5"/>
      <c r="B51" s="5"/>
      <c r="C51" s="5"/>
      <c r="D51" s="5"/>
      <c r="E51" s="5"/>
      <c r="F51" s="5"/>
      <c r="G51" s="112"/>
      <c r="H51" s="112"/>
      <c r="I51" s="112"/>
      <c r="J51" s="112"/>
      <c r="K51" s="112"/>
      <c r="L51" s="5"/>
      <c r="M51" s="5"/>
      <c r="N51" s="5"/>
      <c r="O51" s="5"/>
      <c r="P51" s="5"/>
      <c r="Q51" s="5"/>
      <c r="R51" s="5"/>
      <c r="S51" s="5"/>
      <c r="T51" s="5"/>
      <c r="U51" s="5"/>
      <c r="V51" s="5"/>
      <c r="W51" s="5"/>
      <c r="X51" s="5"/>
      <c r="Y51" s="5"/>
    </row>
    <row r="52" ht="15.75" customHeight="1">
      <c r="A52" s="5"/>
      <c r="B52" s="5"/>
      <c r="C52" s="5"/>
      <c r="D52" s="5"/>
      <c r="E52" s="5"/>
      <c r="F52" s="5"/>
      <c r="G52" s="112"/>
      <c r="H52" s="112"/>
      <c r="I52" s="112"/>
      <c r="J52" s="112"/>
      <c r="K52" s="112"/>
      <c r="L52" s="5"/>
      <c r="M52" s="5"/>
      <c r="N52" s="5"/>
      <c r="O52" s="5"/>
      <c r="P52" s="5"/>
      <c r="Q52" s="5"/>
      <c r="R52" s="5"/>
      <c r="S52" s="5"/>
      <c r="T52" s="5"/>
      <c r="U52" s="5"/>
      <c r="V52" s="5"/>
      <c r="W52" s="5"/>
      <c r="X52" s="5"/>
      <c r="Y52" s="5"/>
    </row>
    <row r="53" ht="15.75" customHeight="1">
      <c r="A53" s="5"/>
      <c r="B53" s="5"/>
      <c r="C53" s="5"/>
      <c r="D53" s="5"/>
      <c r="E53" s="5"/>
      <c r="F53" s="5"/>
      <c r="G53" s="112"/>
      <c r="H53" s="112"/>
      <c r="I53" s="112"/>
      <c r="J53" s="112"/>
      <c r="K53" s="112"/>
      <c r="L53" s="5"/>
      <c r="M53" s="5"/>
      <c r="N53" s="5"/>
      <c r="O53" s="5"/>
      <c r="P53" s="5"/>
      <c r="Q53" s="5"/>
      <c r="R53" s="5"/>
      <c r="S53" s="5"/>
      <c r="T53" s="5"/>
      <c r="U53" s="5"/>
      <c r="V53" s="5"/>
      <c r="W53" s="5"/>
      <c r="X53" s="5"/>
      <c r="Y53" s="5"/>
    </row>
    <row r="54" ht="15.75" customHeight="1">
      <c r="A54" s="5"/>
      <c r="B54" s="5"/>
      <c r="C54" s="5"/>
      <c r="D54" s="5"/>
      <c r="E54" s="5"/>
      <c r="F54" s="5"/>
      <c r="G54" s="112"/>
      <c r="H54" s="112"/>
      <c r="I54" s="112"/>
      <c r="J54" s="112"/>
      <c r="K54" s="112"/>
      <c r="L54" s="5"/>
      <c r="M54" s="5"/>
      <c r="N54" s="5"/>
      <c r="O54" s="5"/>
      <c r="P54" s="5"/>
      <c r="Q54" s="5"/>
      <c r="R54" s="5"/>
      <c r="S54" s="5"/>
      <c r="T54" s="5"/>
      <c r="U54" s="5"/>
      <c r="V54" s="5"/>
      <c r="W54" s="5"/>
      <c r="X54" s="5"/>
      <c r="Y54" s="5"/>
    </row>
    <row r="55" ht="15.75" customHeight="1">
      <c r="A55" s="5"/>
      <c r="B55" s="5"/>
      <c r="C55" s="5"/>
      <c r="D55" s="5"/>
      <c r="E55" s="5"/>
      <c r="F55" s="5"/>
      <c r="G55" s="112"/>
      <c r="H55" s="112"/>
      <c r="I55" s="112"/>
      <c r="J55" s="112"/>
      <c r="K55" s="112"/>
      <c r="L55" s="5"/>
      <c r="M55" s="5"/>
      <c r="N55" s="5"/>
      <c r="O55" s="5"/>
      <c r="P55" s="5"/>
      <c r="Q55" s="5"/>
      <c r="R55" s="5"/>
      <c r="S55" s="5"/>
      <c r="T55" s="5"/>
      <c r="U55" s="5"/>
      <c r="V55" s="5"/>
      <c r="W55" s="5"/>
      <c r="X55" s="5"/>
      <c r="Y55" s="5"/>
    </row>
    <row r="56" ht="15.75" customHeight="1">
      <c r="A56" s="5"/>
      <c r="B56" s="5"/>
      <c r="C56" s="5"/>
      <c r="D56" s="5"/>
      <c r="E56" s="5"/>
      <c r="F56" s="5"/>
      <c r="G56" s="112"/>
      <c r="H56" s="112"/>
      <c r="I56" s="112"/>
      <c r="J56" s="112"/>
      <c r="K56" s="112"/>
      <c r="L56" s="5"/>
      <c r="M56" s="5"/>
      <c r="N56" s="5"/>
      <c r="O56" s="5"/>
      <c r="P56" s="5"/>
      <c r="Q56" s="5"/>
      <c r="R56" s="5"/>
      <c r="S56" s="5"/>
      <c r="T56" s="5"/>
      <c r="U56" s="5"/>
      <c r="V56" s="5"/>
      <c r="W56" s="5"/>
      <c r="X56" s="5"/>
      <c r="Y56" s="5"/>
    </row>
    <row r="57" ht="15.75" customHeight="1">
      <c r="A57" s="5"/>
      <c r="B57" s="5"/>
      <c r="C57" s="5"/>
      <c r="D57" s="5"/>
      <c r="E57" s="5"/>
      <c r="F57" s="5"/>
      <c r="G57" s="112"/>
      <c r="H57" s="112"/>
      <c r="I57" s="112"/>
      <c r="J57" s="112"/>
      <c r="K57" s="112"/>
      <c r="L57" s="5"/>
      <c r="M57" s="5"/>
      <c r="N57" s="5"/>
      <c r="O57" s="5"/>
      <c r="P57" s="5"/>
      <c r="Q57" s="5"/>
      <c r="R57" s="5"/>
      <c r="S57" s="5"/>
      <c r="T57" s="5"/>
      <c r="U57" s="5"/>
      <c r="V57" s="5"/>
      <c r="W57" s="5"/>
      <c r="X57" s="5"/>
      <c r="Y57" s="5"/>
    </row>
    <row r="58" ht="15.75" customHeight="1">
      <c r="A58" s="5"/>
      <c r="B58" s="5"/>
      <c r="C58" s="5"/>
      <c r="D58" s="5"/>
      <c r="E58" s="5"/>
      <c r="F58" s="5"/>
      <c r="G58" s="112"/>
      <c r="H58" s="112"/>
      <c r="I58" s="112"/>
      <c r="J58" s="112"/>
      <c r="K58" s="112"/>
      <c r="L58" s="5"/>
      <c r="M58" s="5"/>
      <c r="N58" s="5"/>
      <c r="O58" s="5"/>
      <c r="P58" s="5"/>
      <c r="Q58" s="5"/>
      <c r="R58" s="5"/>
      <c r="S58" s="5"/>
      <c r="T58" s="5"/>
      <c r="U58" s="5"/>
      <c r="V58" s="5"/>
      <c r="W58" s="5"/>
      <c r="X58" s="5"/>
      <c r="Y58" s="5"/>
    </row>
    <row r="59" ht="15.75" customHeight="1">
      <c r="A59" s="5"/>
      <c r="B59" s="5"/>
      <c r="C59" s="5"/>
      <c r="D59" s="5"/>
      <c r="E59" s="5"/>
      <c r="F59" s="5"/>
      <c r="G59" s="112"/>
      <c r="H59" s="112"/>
      <c r="I59" s="112"/>
      <c r="J59" s="112"/>
      <c r="K59" s="112"/>
      <c r="L59" s="5"/>
      <c r="M59" s="5"/>
      <c r="N59" s="5"/>
      <c r="O59" s="5"/>
      <c r="P59" s="5"/>
      <c r="Q59" s="5"/>
      <c r="R59" s="5"/>
      <c r="S59" s="5"/>
      <c r="T59" s="5"/>
      <c r="U59" s="5"/>
      <c r="V59" s="5"/>
      <c r="W59" s="5"/>
      <c r="X59" s="5"/>
      <c r="Y59" s="5"/>
    </row>
    <row r="60" ht="15.75" customHeight="1">
      <c r="A60" s="5"/>
      <c r="B60" s="5"/>
      <c r="C60" s="5"/>
      <c r="D60" s="5"/>
      <c r="E60" s="5"/>
      <c r="F60" s="5"/>
      <c r="G60" s="112"/>
      <c r="H60" s="112"/>
      <c r="I60" s="112"/>
      <c r="J60" s="112"/>
      <c r="K60" s="112"/>
      <c r="L60" s="5"/>
      <c r="M60" s="5"/>
      <c r="N60" s="5"/>
      <c r="O60" s="5"/>
      <c r="P60" s="5"/>
      <c r="Q60" s="5"/>
      <c r="R60" s="5"/>
      <c r="S60" s="5"/>
      <c r="T60" s="5"/>
      <c r="U60" s="5"/>
      <c r="V60" s="5"/>
      <c r="W60" s="5"/>
      <c r="X60" s="5"/>
      <c r="Y60" s="5"/>
    </row>
    <row r="61" ht="15.75" customHeight="1">
      <c r="A61" s="5"/>
      <c r="B61" s="5"/>
      <c r="C61" s="5"/>
      <c r="D61" s="5"/>
      <c r="E61" s="5"/>
      <c r="F61" s="5"/>
      <c r="G61" s="112"/>
      <c r="H61" s="112"/>
      <c r="I61" s="112"/>
      <c r="J61" s="112"/>
      <c r="K61" s="112"/>
      <c r="L61" s="5"/>
      <c r="M61" s="5"/>
      <c r="N61" s="5"/>
      <c r="O61" s="5"/>
      <c r="P61" s="5"/>
      <c r="Q61" s="5"/>
      <c r="R61" s="5"/>
      <c r="S61" s="5"/>
      <c r="T61" s="5"/>
      <c r="U61" s="5"/>
      <c r="V61" s="5"/>
      <c r="W61" s="5"/>
      <c r="X61" s="5"/>
      <c r="Y61" s="5"/>
    </row>
    <row r="62" ht="15.75" customHeight="1">
      <c r="A62" s="5"/>
      <c r="B62" s="5"/>
      <c r="C62" s="5"/>
      <c r="D62" s="5"/>
      <c r="E62" s="5"/>
      <c r="F62" s="5"/>
      <c r="G62" s="112"/>
      <c r="H62" s="112"/>
      <c r="I62" s="112"/>
      <c r="J62" s="112"/>
      <c r="K62" s="112"/>
      <c r="L62" s="5"/>
      <c r="M62" s="5"/>
      <c r="N62" s="5"/>
      <c r="O62" s="5"/>
      <c r="P62" s="5"/>
      <c r="Q62" s="5"/>
      <c r="R62" s="5"/>
      <c r="S62" s="5"/>
      <c r="T62" s="5"/>
      <c r="U62" s="5"/>
      <c r="V62" s="5"/>
      <c r="W62" s="5"/>
      <c r="X62" s="5"/>
      <c r="Y62" s="5"/>
    </row>
    <row r="63" ht="15.75" customHeight="1">
      <c r="A63" s="5"/>
      <c r="B63" s="5"/>
      <c r="C63" s="5"/>
      <c r="D63" s="5"/>
      <c r="E63" s="5"/>
      <c r="F63" s="5"/>
      <c r="G63" s="112"/>
      <c r="H63" s="112"/>
      <c r="I63" s="112"/>
      <c r="J63" s="112"/>
      <c r="K63" s="112"/>
      <c r="L63" s="5"/>
      <c r="M63" s="5"/>
      <c r="N63" s="5"/>
      <c r="O63" s="5"/>
      <c r="P63" s="5"/>
      <c r="Q63" s="5"/>
      <c r="R63" s="5"/>
      <c r="S63" s="5"/>
      <c r="T63" s="5"/>
      <c r="U63" s="5"/>
      <c r="V63" s="5"/>
      <c r="W63" s="5"/>
      <c r="X63" s="5"/>
      <c r="Y63" s="5"/>
    </row>
    <row r="64" ht="15.75" customHeight="1">
      <c r="A64" s="5"/>
      <c r="B64" s="5"/>
      <c r="C64" s="5"/>
      <c r="D64" s="5"/>
      <c r="E64" s="5"/>
      <c r="F64" s="5"/>
      <c r="G64" s="112"/>
      <c r="H64" s="112"/>
      <c r="I64" s="112"/>
      <c r="J64" s="112"/>
      <c r="K64" s="112"/>
      <c r="L64" s="5"/>
      <c r="M64" s="5"/>
      <c r="N64" s="5"/>
      <c r="O64" s="5"/>
      <c r="P64" s="5"/>
      <c r="Q64" s="5"/>
      <c r="R64" s="5"/>
      <c r="S64" s="5"/>
      <c r="T64" s="5"/>
      <c r="U64" s="5"/>
      <c r="V64" s="5"/>
      <c r="W64" s="5"/>
      <c r="X64" s="5"/>
      <c r="Y64" s="5"/>
    </row>
    <row r="65" ht="15.75" customHeight="1">
      <c r="A65" s="5"/>
      <c r="B65" s="5"/>
      <c r="C65" s="5"/>
      <c r="D65" s="5"/>
      <c r="E65" s="5"/>
      <c r="F65" s="5"/>
      <c r="G65" s="112"/>
      <c r="H65" s="112"/>
      <c r="I65" s="112"/>
      <c r="J65" s="112"/>
      <c r="K65" s="112"/>
      <c r="L65" s="5"/>
      <c r="M65" s="5"/>
      <c r="N65" s="5"/>
      <c r="O65" s="5"/>
      <c r="P65" s="5"/>
      <c r="Q65" s="5"/>
      <c r="R65" s="5"/>
      <c r="S65" s="5"/>
      <c r="T65" s="5"/>
      <c r="U65" s="5"/>
      <c r="V65" s="5"/>
      <c r="W65" s="5"/>
      <c r="X65" s="5"/>
      <c r="Y65" s="5"/>
    </row>
    <row r="66" ht="15.75" customHeight="1">
      <c r="A66" s="5"/>
      <c r="B66" s="5"/>
      <c r="C66" s="5"/>
      <c r="D66" s="5"/>
      <c r="E66" s="5"/>
      <c r="F66" s="5"/>
      <c r="G66" s="112"/>
      <c r="H66" s="112"/>
      <c r="I66" s="112"/>
      <c r="J66" s="112"/>
      <c r="K66" s="112"/>
      <c r="L66" s="5"/>
      <c r="M66" s="5"/>
      <c r="N66" s="5"/>
      <c r="O66" s="5"/>
      <c r="P66" s="5"/>
      <c r="Q66" s="5"/>
      <c r="R66" s="5"/>
      <c r="S66" s="5"/>
      <c r="T66" s="5"/>
      <c r="U66" s="5"/>
      <c r="V66" s="5"/>
      <c r="W66" s="5"/>
      <c r="X66" s="5"/>
      <c r="Y66" s="5"/>
    </row>
    <row r="67" ht="15.75" customHeight="1">
      <c r="A67" s="5"/>
      <c r="B67" s="5"/>
      <c r="C67" s="5"/>
      <c r="D67" s="5"/>
      <c r="E67" s="5"/>
      <c r="F67" s="5"/>
      <c r="G67" s="112"/>
      <c r="H67" s="112"/>
      <c r="I67" s="112"/>
      <c r="J67" s="112"/>
      <c r="K67" s="112"/>
      <c r="L67" s="5"/>
      <c r="M67" s="5"/>
      <c r="N67" s="5"/>
      <c r="O67" s="5"/>
      <c r="P67" s="5"/>
      <c r="Q67" s="5"/>
      <c r="R67" s="5"/>
      <c r="S67" s="5"/>
      <c r="T67" s="5"/>
      <c r="U67" s="5"/>
      <c r="V67" s="5"/>
      <c r="W67" s="5"/>
      <c r="X67" s="5"/>
      <c r="Y67" s="5"/>
    </row>
    <row r="68" ht="15.75" customHeight="1">
      <c r="A68" s="5"/>
      <c r="B68" s="5"/>
      <c r="C68" s="5"/>
      <c r="D68" s="5"/>
      <c r="E68" s="5"/>
      <c r="F68" s="5"/>
      <c r="G68" s="112"/>
      <c r="H68" s="112"/>
      <c r="I68" s="112"/>
      <c r="J68" s="112"/>
      <c r="K68" s="112"/>
      <c r="L68" s="5"/>
      <c r="M68" s="5"/>
      <c r="N68" s="5"/>
      <c r="O68" s="5"/>
      <c r="P68" s="5"/>
      <c r="Q68" s="5"/>
      <c r="R68" s="5"/>
      <c r="S68" s="5"/>
      <c r="T68" s="5"/>
      <c r="U68" s="5"/>
      <c r="V68" s="5"/>
      <c r="W68" s="5"/>
      <c r="X68" s="5"/>
      <c r="Y68" s="5"/>
    </row>
    <row r="69" ht="15.75" customHeight="1">
      <c r="A69" s="5"/>
      <c r="B69" s="5"/>
      <c r="C69" s="5"/>
      <c r="D69" s="5"/>
      <c r="E69" s="5"/>
      <c r="F69" s="5"/>
      <c r="G69" s="112"/>
      <c r="H69" s="112"/>
      <c r="I69" s="112"/>
      <c r="J69" s="112"/>
      <c r="K69" s="112"/>
      <c r="L69" s="5"/>
      <c r="M69" s="5"/>
      <c r="N69" s="5"/>
      <c r="O69" s="5"/>
      <c r="P69" s="5"/>
      <c r="Q69" s="5"/>
      <c r="R69" s="5"/>
      <c r="S69" s="5"/>
      <c r="T69" s="5"/>
      <c r="U69" s="5"/>
      <c r="V69" s="5"/>
      <c r="W69" s="5"/>
      <c r="X69" s="5"/>
      <c r="Y69" s="5"/>
    </row>
    <row r="70" ht="15.75" customHeight="1">
      <c r="A70" s="5"/>
      <c r="B70" s="5"/>
      <c r="C70" s="5"/>
      <c r="D70" s="5"/>
      <c r="E70" s="5"/>
      <c r="F70" s="5"/>
      <c r="G70" s="112"/>
      <c r="H70" s="112"/>
      <c r="I70" s="112"/>
      <c r="J70" s="112"/>
      <c r="K70" s="112"/>
      <c r="L70" s="5"/>
      <c r="M70" s="5"/>
      <c r="N70" s="5"/>
      <c r="O70" s="5"/>
      <c r="P70" s="5"/>
      <c r="Q70" s="5"/>
      <c r="R70" s="5"/>
      <c r="S70" s="5"/>
      <c r="T70" s="5"/>
      <c r="U70" s="5"/>
      <c r="V70" s="5"/>
      <c r="W70" s="5"/>
      <c r="X70" s="5"/>
      <c r="Y70" s="5"/>
    </row>
    <row r="71" ht="15.75" customHeight="1">
      <c r="A71" s="5"/>
      <c r="B71" s="5"/>
      <c r="C71" s="5"/>
      <c r="D71" s="5"/>
      <c r="E71" s="5"/>
      <c r="F71" s="5"/>
      <c r="G71" s="112"/>
      <c r="H71" s="112"/>
      <c r="I71" s="112"/>
      <c r="J71" s="112"/>
      <c r="K71" s="112"/>
      <c r="L71" s="5"/>
      <c r="M71" s="5"/>
      <c r="N71" s="5"/>
      <c r="O71" s="5"/>
      <c r="P71" s="5"/>
      <c r="Q71" s="5"/>
      <c r="R71" s="5"/>
      <c r="S71" s="5"/>
      <c r="T71" s="5"/>
      <c r="U71" s="5"/>
      <c r="V71" s="5"/>
      <c r="W71" s="5"/>
      <c r="X71" s="5"/>
      <c r="Y71" s="5"/>
    </row>
    <row r="72" ht="15.75" customHeight="1">
      <c r="A72" s="5"/>
      <c r="B72" s="5"/>
      <c r="C72" s="5"/>
      <c r="D72" s="5"/>
      <c r="E72" s="5"/>
      <c r="F72" s="5"/>
      <c r="G72" s="112"/>
      <c r="H72" s="112"/>
      <c r="I72" s="112"/>
      <c r="J72" s="112"/>
      <c r="K72" s="112"/>
      <c r="L72" s="5"/>
      <c r="M72" s="5"/>
      <c r="N72" s="5"/>
      <c r="O72" s="5"/>
      <c r="P72" s="5"/>
      <c r="Q72" s="5"/>
      <c r="R72" s="5"/>
      <c r="S72" s="5"/>
      <c r="T72" s="5"/>
      <c r="U72" s="5"/>
      <c r="V72" s="5"/>
      <c r="W72" s="5"/>
      <c r="X72" s="5"/>
      <c r="Y72" s="5"/>
    </row>
    <row r="73" ht="15.75" customHeight="1">
      <c r="A73" s="5"/>
      <c r="B73" s="5"/>
      <c r="C73" s="5"/>
      <c r="D73" s="5"/>
      <c r="E73" s="5"/>
      <c r="F73" s="5"/>
      <c r="G73" s="112"/>
      <c r="H73" s="112"/>
      <c r="I73" s="112"/>
      <c r="J73" s="112"/>
      <c r="K73" s="112"/>
      <c r="L73" s="5"/>
      <c r="M73" s="5"/>
      <c r="N73" s="5"/>
      <c r="O73" s="5"/>
      <c r="P73" s="5"/>
      <c r="Q73" s="5"/>
      <c r="R73" s="5"/>
      <c r="S73" s="5"/>
      <c r="T73" s="5"/>
      <c r="U73" s="5"/>
      <c r="V73" s="5"/>
      <c r="W73" s="5"/>
      <c r="X73" s="5"/>
      <c r="Y73" s="5"/>
    </row>
    <row r="74" ht="15.75" customHeight="1">
      <c r="A74" s="5"/>
      <c r="B74" s="5"/>
      <c r="C74" s="5"/>
      <c r="D74" s="5"/>
      <c r="E74" s="5"/>
      <c r="F74" s="5"/>
      <c r="G74" s="112"/>
      <c r="H74" s="112"/>
      <c r="I74" s="112"/>
      <c r="J74" s="112"/>
      <c r="K74" s="112"/>
      <c r="L74" s="5"/>
      <c r="M74" s="5"/>
      <c r="N74" s="5"/>
      <c r="O74" s="5"/>
      <c r="P74" s="5"/>
      <c r="Q74" s="5"/>
      <c r="R74" s="5"/>
      <c r="S74" s="5"/>
      <c r="T74" s="5"/>
      <c r="U74" s="5"/>
      <c r="V74" s="5"/>
      <c r="W74" s="5"/>
      <c r="X74" s="5"/>
      <c r="Y74" s="5"/>
    </row>
    <row r="75" ht="15.75" customHeight="1">
      <c r="A75" s="5"/>
      <c r="B75" s="5"/>
      <c r="C75" s="5"/>
      <c r="D75" s="5"/>
      <c r="E75" s="5"/>
      <c r="F75" s="5"/>
      <c r="G75" s="112"/>
      <c r="H75" s="112"/>
      <c r="I75" s="112"/>
      <c r="J75" s="112"/>
      <c r="K75" s="112"/>
      <c r="L75" s="5"/>
      <c r="M75" s="5"/>
      <c r="N75" s="5"/>
      <c r="O75" s="5"/>
      <c r="P75" s="5"/>
      <c r="Q75" s="5"/>
      <c r="R75" s="5"/>
      <c r="S75" s="5"/>
      <c r="T75" s="5"/>
      <c r="U75" s="5"/>
      <c r="V75" s="5"/>
      <c r="W75" s="5"/>
      <c r="X75" s="5"/>
      <c r="Y75" s="5"/>
    </row>
    <row r="76" ht="15.75" customHeight="1">
      <c r="A76" s="5"/>
      <c r="B76" s="5"/>
      <c r="C76" s="5"/>
      <c r="D76" s="5"/>
      <c r="E76" s="5"/>
      <c r="F76" s="5"/>
      <c r="G76" s="112"/>
      <c r="H76" s="112"/>
      <c r="I76" s="112"/>
      <c r="J76" s="112"/>
      <c r="K76" s="112"/>
      <c r="L76" s="5"/>
      <c r="M76" s="5"/>
      <c r="N76" s="5"/>
      <c r="O76" s="5"/>
      <c r="P76" s="5"/>
      <c r="Q76" s="5"/>
      <c r="R76" s="5"/>
      <c r="S76" s="5"/>
      <c r="T76" s="5"/>
      <c r="U76" s="5"/>
      <c r="V76" s="5"/>
      <c r="W76" s="5"/>
      <c r="X76" s="5"/>
      <c r="Y76" s="5"/>
    </row>
    <row r="77" ht="15.75" customHeight="1">
      <c r="A77" s="5"/>
      <c r="B77" s="5"/>
      <c r="C77" s="5"/>
      <c r="D77" s="5"/>
      <c r="E77" s="5"/>
      <c r="F77" s="5"/>
      <c r="G77" s="112"/>
      <c r="H77" s="112"/>
      <c r="I77" s="112"/>
      <c r="J77" s="112"/>
      <c r="K77" s="112"/>
      <c r="L77" s="5"/>
      <c r="M77" s="5"/>
      <c r="N77" s="5"/>
      <c r="O77" s="5"/>
      <c r="P77" s="5"/>
      <c r="Q77" s="5"/>
      <c r="R77" s="5"/>
      <c r="S77" s="5"/>
      <c r="T77" s="5"/>
      <c r="U77" s="5"/>
      <c r="V77" s="5"/>
      <c r="W77" s="5"/>
      <c r="X77" s="5"/>
      <c r="Y77" s="5"/>
    </row>
    <row r="78" ht="15.75" customHeight="1">
      <c r="A78" s="5"/>
      <c r="B78" s="5"/>
      <c r="C78" s="5"/>
      <c r="D78" s="5"/>
      <c r="E78" s="5"/>
      <c r="F78" s="5"/>
      <c r="G78" s="112"/>
      <c r="H78" s="112"/>
      <c r="I78" s="112"/>
      <c r="J78" s="112"/>
      <c r="K78" s="112"/>
      <c r="L78" s="5"/>
      <c r="M78" s="5"/>
      <c r="N78" s="5"/>
      <c r="O78" s="5"/>
      <c r="P78" s="5"/>
      <c r="Q78" s="5"/>
      <c r="R78" s="5"/>
      <c r="S78" s="5"/>
      <c r="T78" s="5"/>
      <c r="U78" s="5"/>
      <c r="V78" s="5"/>
      <c r="W78" s="5"/>
      <c r="X78" s="5"/>
      <c r="Y78" s="5"/>
    </row>
    <row r="79" ht="15.75" customHeight="1">
      <c r="A79" s="5"/>
      <c r="B79" s="5"/>
      <c r="C79" s="5"/>
      <c r="D79" s="5"/>
      <c r="E79" s="5"/>
      <c r="F79" s="5"/>
      <c r="G79" s="112"/>
      <c r="H79" s="112"/>
      <c r="I79" s="112"/>
      <c r="J79" s="112"/>
      <c r="K79" s="112"/>
      <c r="L79" s="5"/>
      <c r="M79" s="5"/>
      <c r="N79" s="5"/>
      <c r="O79" s="5"/>
      <c r="P79" s="5"/>
      <c r="Q79" s="5"/>
      <c r="R79" s="5"/>
      <c r="S79" s="5"/>
      <c r="T79" s="5"/>
      <c r="U79" s="5"/>
      <c r="V79" s="5"/>
      <c r="W79" s="5"/>
      <c r="X79" s="5"/>
      <c r="Y79" s="5"/>
    </row>
    <row r="80" ht="15.75" customHeight="1">
      <c r="A80" s="5"/>
      <c r="B80" s="5"/>
      <c r="C80" s="5"/>
      <c r="D80" s="5"/>
      <c r="E80" s="5"/>
      <c r="F80" s="5"/>
      <c r="G80" s="112"/>
      <c r="H80" s="112"/>
      <c r="I80" s="112"/>
      <c r="J80" s="112"/>
      <c r="K80" s="112"/>
      <c r="L80" s="5"/>
      <c r="M80" s="5"/>
      <c r="N80" s="5"/>
      <c r="O80" s="5"/>
      <c r="P80" s="5"/>
      <c r="Q80" s="5"/>
      <c r="R80" s="5"/>
      <c r="S80" s="5"/>
      <c r="T80" s="5"/>
      <c r="U80" s="5"/>
      <c r="V80" s="5"/>
      <c r="W80" s="5"/>
      <c r="X80" s="5"/>
      <c r="Y80" s="5"/>
    </row>
    <row r="81" ht="15.75" customHeight="1">
      <c r="A81" s="5"/>
      <c r="B81" s="5"/>
      <c r="C81" s="5"/>
      <c r="D81" s="5"/>
      <c r="E81" s="5"/>
      <c r="F81" s="5"/>
      <c r="G81" s="112"/>
      <c r="H81" s="112"/>
      <c r="I81" s="112"/>
      <c r="J81" s="112"/>
      <c r="K81" s="112"/>
      <c r="L81" s="5"/>
      <c r="M81" s="5"/>
      <c r="N81" s="5"/>
      <c r="O81" s="5"/>
      <c r="P81" s="5"/>
      <c r="Q81" s="5"/>
      <c r="R81" s="5"/>
      <c r="S81" s="5"/>
      <c r="T81" s="5"/>
      <c r="U81" s="5"/>
      <c r="V81" s="5"/>
      <c r="W81" s="5"/>
      <c r="X81" s="5"/>
      <c r="Y81" s="5"/>
    </row>
    <row r="82" ht="15.75" customHeight="1">
      <c r="A82" s="5"/>
      <c r="B82" s="5"/>
      <c r="C82" s="5"/>
      <c r="D82" s="5"/>
      <c r="E82" s="5"/>
      <c r="F82" s="5"/>
      <c r="G82" s="112"/>
      <c r="H82" s="112"/>
      <c r="I82" s="112"/>
      <c r="J82" s="112"/>
      <c r="K82" s="112"/>
      <c r="L82" s="5"/>
      <c r="M82" s="5"/>
      <c r="N82" s="5"/>
      <c r="O82" s="5"/>
      <c r="P82" s="5"/>
      <c r="Q82" s="5"/>
      <c r="R82" s="5"/>
      <c r="S82" s="5"/>
      <c r="T82" s="5"/>
      <c r="U82" s="5"/>
      <c r="V82" s="5"/>
      <c r="W82" s="5"/>
      <c r="X82" s="5"/>
      <c r="Y82" s="5"/>
    </row>
    <row r="83" ht="15.75" customHeight="1">
      <c r="A83" s="5"/>
      <c r="B83" s="5"/>
      <c r="C83" s="5"/>
      <c r="D83" s="5"/>
      <c r="E83" s="5"/>
      <c r="F83" s="5"/>
      <c r="G83" s="112"/>
      <c r="H83" s="112"/>
      <c r="I83" s="112"/>
      <c r="J83" s="112"/>
      <c r="K83" s="112"/>
      <c r="L83" s="5"/>
      <c r="M83" s="5"/>
      <c r="N83" s="5"/>
      <c r="O83" s="5"/>
      <c r="P83" s="5"/>
      <c r="Q83" s="5"/>
      <c r="R83" s="5"/>
      <c r="S83" s="5"/>
      <c r="T83" s="5"/>
      <c r="U83" s="5"/>
      <c r="V83" s="5"/>
      <c r="W83" s="5"/>
      <c r="X83" s="5"/>
      <c r="Y83" s="5"/>
    </row>
    <row r="84" ht="15.75" customHeight="1">
      <c r="A84" s="5"/>
      <c r="B84" s="5"/>
      <c r="C84" s="5"/>
      <c r="D84" s="5"/>
      <c r="E84" s="5"/>
      <c r="F84" s="5"/>
      <c r="G84" s="112"/>
      <c r="H84" s="112"/>
      <c r="I84" s="112"/>
      <c r="J84" s="112"/>
      <c r="K84" s="112"/>
      <c r="L84" s="5"/>
      <c r="M84" s="5"/>
      <c r="N84" s="5"/>
      <c r="O84" s="5"/>
      <c r="P84" s="5"/>
      <c r="Q84" s="5"/>
      <c r="R84" s="5"/>
      <c r="S84" s="5"/>
      <c r="T84" s="5"/>
      <c r="U84" s="5"/>
      <c r="V84" s="5"/>
      <c r="W84" s="5"/>
      <c r="X84" s="5"/>
      <c r="Y84" s="5"/>
    </row>
    <row r="85" ht="15.75" customHeight="1">
      <c r="A85" s="5"/>
      <c r="B85" s="5"/>
      <c r="C85" s="5"/>
      <c r="D85" s="5"/>
      <c r="E85" s="5"/>
      <c r="F85" s="5"/>
      <c r="G85" s="112"/>
      <c r="H85" s="112"/>
      <c r="I85" s="112"/>
      <c r="J85" s="112"/>
      <c r="K85" s="112"/>
      <c r="L85" s="5"/>
      <c r="M85" s="5"/>
      <c r="N85" s="5"/>
      <c r="O85" s="5"/>
      <c r="P85" s="5"/>
      <c r="Q85" s="5"/>
      <c r="R85" s="5"/>
      <c r="S85" s="5"/>
      <c r="T85" s="5"/>
      <c r="U85" s="5"/>
      <c r="V85" s="5"/>
      <c r="W85" s="5"/>
      <c r="X85" s="5"/>
      <c r="Y85" s="5"/>
    </row>
    <row r="86" ht="15.75" customHeight="1">
      <c r="A86" s="5"/>
      <c r="B86" s="5"/>
      <c r="C86" s="5"/>
      <c r="D86" s="5"/>
      <c r="E86" s="5"/>
      <c r="F86" s="5"/>
      <c r="G86" s="112"/>
      <c r="H86" s="112"/>
      <c r="I86" s="112"/>
      <c r="J86" s="112"/>
      <c r="K86" s="112"/>
      <c r="L86" s="5"/>
      <c r="M86" s="5"/>
      <c r="N86" s="5"/>
      <c r="O86" s="5"/>
      <c r="P86" s="5"/>
      <c r="Q86" s="5"/>
      <c r="R86" s="5"/>
      <c r="S86" s="5"/>
      <c r="T86" s="5"/>
      <c r="U86" s="5"/>
      <c r="V86" s="5"/>
      <c r="W86" s="5"/>
      <c r="X86" s="5"/>
      <c r="Y86" s="5"/>
    </row>
    <row r="87" ht="15.75" customHeight="1">
      <c r="A87" s="5"/>
      <c r="B87" s="5"/>
      <c r="C87" s="5"/>
      <c r="D87" s="5"/>
      <c r="E87" s="5"/>
      <c r="F87" s="5"/>
      <c r="G87" s="112"/>
      <c r="H87" s="112"/>
      <c r="I87" s="112"/>
      <c r="J87" s="112"/>
      <c r="K87" s="112"/>
      <c r="L87" s="5"/>
      <c r="M87" s="5"/>
      <c r="N87" s="5"/>
      <c r="O87" s="5"/>
      <c r="P87" s="5"/>
      <c r="Q87" s="5"/>
      <c r="R87" s="5"/>
      <c r="S87" s="5"/>
      <c r="T87" s="5"/>
      <c r="U87" s="5"/>
      <c r="V87" s="5"/>
      <c r="W87" s="5"/>
      <c r="X87" s="5"/>
      <c r="Y87" s="5"/>
    </row>
    <row r="88" ht="15.75" customHeight="1">
      <c r="A88" s="5"/>
      <c r="B88" s="5"/>
      <c r="C88" s="5"/>
      <c r="D88" s="5"/>
      <c r="E88" s="5"/>
      <c r="F88" s="5"/>
      <c r="G88" s="112"/>
      <c r="H88" s="112"/>
      <c r="I88" s="112"/>
      <c r="J88" s="112"/>
      <c r="K88" s="112"/>
      <c r="L88" s="5"/>
      <c r="M88" s="5"/>
      <c r="N88" s="5"/>
      <c r="O88" s="5"/>
      <c r="P88" s="5"/>
      <c r="Q88" s="5"/>
      <c r="R88" s="5"/>
      <c r="S88" s="5"/>
      <c r="T88" s="5"/>
      <c r="U88" s="5"/>
      <c r="V88" s="5"/>
      <c r="W88" s="5"/>
      <c r="X88" s="5"/>
      <c r="Y88" s="5"/>
    </row>
    <row r="89" ht="15.75" customHeight="1">
      <c r="A89" s="5"/>
      <c r="B89" s="5"/>
      <c r="C89" s="5"/>
      <c r="D89" s="5"/>
      <c r="E89" s="5"/>
      <c r="F89" s="5"/>
      <c r="G89" s="112"/>
      <c r="H89" s="112"/>
      <c r="I89" s="112"/>
      <c r="J89" s="112"/>
      <c r="K89" s="112"/>
      <c r="L89" s="5"/>
      <c r="M89" s="5"/>
      <c r="N89" s="5"/>
      <c r="O89" s="5"/>
      <c r="P89" s="5"/>
      <c r="Q89" s="5"/>
      <c r="R89" s="5"/>
      <c r="S89" s="5"/>
      <c r="T89" s="5"/>
      <c r="U89" s="5"/>
      <c r="V89" s="5"/>
      <c r="W89" s="5"/>
      <c r="X89" s="5"/>
      <c r="Y89" s="5"/>
    </row>
    <row r="90" ht="15.75" customHeight="1">
      <c r="A90" s="5"/>
      <c r="B90" s="5"/>
      <c r="C90" s="5"/>
      <c r="D90" s="5"/>
      <c r="E90" s="5"/>
      <c r="F90" s="5"/>
      <c r="G90" s="112"/>
      <c r="H90" s="112"/>
      <c r="I90" s="112"/>
      <c r="J90" s="112"/>
      <c r="K90" s="112"/>
      <c r="L90" s="5"/>
      <c r="M90" s="5"/>
      <c r="N90" s="5"/>
      <c r="O90" s="5"/>
      <c r="P90" s="5"/>
      <c r="Q90" s="5"/>
      <c r="R90" s="5"/>
      <c r="S90" s="5"/>
      <c r="T90" s="5"/>
      <c r="U90" s="5"/>
      <c r="V90" s="5"/>
      <c r="W90" s="5"/>
      <c r="X90" s="5"/>
      <c r="Y90" s="5"/>
    </row>
    <row r="91" ht="15.75" customHeight="1">
      <c r="A91" s="5"/>
      <c r="B91" s="5"/>
      <c r="C91" s="5"/>
      <c r="D91" s="5"/>
      <c r="E91" s="5"/>
      <c r="F91" s="5"/>
      <c r="G91" s="112"/>
      <c r="H91" s="112"/>
      <c r="I91" s="112"/>
      <c r="J91" s="112"/>
      <c r="K91" s="112"/>
      <c r="L91" s="5"/>
      <c r="M91" s="5"/>
      <c r="N91" s="5"/>
      <c r="O91" s="5"/>
      <c r="P91" s="5"/>
      <c r="Q91" s="5"/>
      <c r="R91" s="5"/>
      <c r="S91" s="5"/>
      <c r="T91" s="5"/>
      <c r="U91" s="5"/>
      <c r="V91" s="5"/>
      <c r="W91" s="5"/>
      <c r="X91" s="5"/>
      <c r="Y91" s="5"/>
    </row>
    <row r="92" ht="15.75" customHeight="1">
      <c r="A92" s="5"/>
      <c r="B92" s="5"/>
      <c r="C92" s="5"/>
      <c r="D92" s="5"/>
      <c r="E92" s="5"/>
      <c r="F92" s="5"/>
      <c r="G92" s="112"/>
      <c r="H92" s="112"/>
      <c r="I92" s="112"/>
      <c r="J92" s="112"/>
      <c r="K92" s="112"/>
      <c r="L92" s="5"/>
      <c r="M92" s="5"/>
      <c r="N92" s="5"/>
      <c r="O92" s="5"/>
      <c r="P92" s="5"/>
      <c r="Q92" s="5"/>
      <c r="R92" s="5"/>
      <c r="S92" s="5"/>
      <c r="T92" s="5"/>
      <c r="U92" s="5"/>
      <c r="V92" s="5"/>
      <c r="W92" s="5"/>
      <c r="X92" s="5"/>
      <c r="Y92" s="5"/>
    </row>
    <row r="93" ht="15.75" customHeight="1">
      <c r="A93" s="5"/>
      <c r="B93" s="5"/>
      <c r="C93" s="5"/>
      <c r="D93" s="5"/>
      <c r="E93" s="5"/>
      <c r="F93" s="5"/>
      <c r="G93" s="112"/>
      <c r="H93" s="112"/>
      <c r="I93" s="112"/>
      <c r="J93" s="112"/>
      <c r="K93" s="112"/>
      <c r="L93" s="5"/>
      <c r="M93" s="5"/>
      <c r="N93" s="5"/>
      <c r="O93" s="5"/>
      <c r="P93" s="5"/>
      <c r="Q93" s="5"/>
      <c r="R93" s="5"/>
      <c r="S93" s="5"/>
      <c r="T93" s="5"/>
      <c r="U93" s="5"/>
      <c r="V93" s="5"/>
      <c r="W93" s="5"/>
      <c r="X93" s="5"/>
      <c r="Y93" s="5"/>
    </row>
    <row r="94" ht="15.75" customHeight="1">
      <c r="A94" s="5"/>
      <c r="B94" s="5"/>
      <c r="C94" s="5"/>
      <c r="D94" s="5"/>
      <c r="E94" s="5"/>
      <c r="F94" s="5"/>
      <c r="G94" s="112"/>
      <c r="H94" s="112"/>
      <c r="I94" s="112"/>
      <c r="J94" s="112"/>
      <c r="K94" s="112"/>
      <c r="L94" s="5"/>
      <c r="M94" s="5"/>
      <c r="N94" s="5"/>
      <c r="O94" s="5"/>
      <c r="P94" s="5"/>
      <c r="Q94" s="5"/>
      <c r="R94" s="5"/>
      <c r="S94" s="5"/>
      <c r="T94" s="5"/>
      <c r="U94" s="5"/>
      <c r="V94" s="5"/>
      <c r="W94" s="5"/>
      <c r="X94" s="5"/>
      <c r="Y94" s="5"/>
    </row>
    <row r="95" ht="15.75" customHeight="1">
      <c r="A95" s="5"/>
      <c r="B95" s="5"/>
      <c r="C95" s="5"/>
      <c r="D95" s="5"/>
      <c r="E95" s="5"/>
      <c r="F95" s="5"/>
      <c r="G95" s="112"/>
      <c r="H95" s="112"/>
      <c r="I95" s="112"/>
      <c r="J95" s="112"/>
      <c r="K95" s="112"/>
      <c r="L95" s="5"/>
      <c r="M95" s="5"/>
      <c r="N95" s="5"/>
      <c r="O95" s="5"/>
      <c r="P95" s="5"/>
      <c r="Q95" s="5"/>
      <c r="R95" s="5"/>
      <c r="S95" s="5"/>
      <c r="T95" s="5"/>
      <c r="U95" s="5"/>
      <c r="V95" s="5"/>
      <c r="W95" s="5"/>
      <c r="X95" s="5"/>
      <c r="Y95" s="5"/>
    </row>
    <row r="96" ht="15.75" customHeight="1">
      <c r="A96" s="5"/>
      <c r="B96" s="5"/>
      <c r="C96" s="5"/>
      <c r="D96" s="5"/>
      <c r="E96" s="5"/>
      <c r="F96" s="5"/>
      <c r="G96" s="112"/>
      <c r="H96" s="112"/>
      <c r="I96" s="112"/>
      <c r="J96" s="112"/>
      <c r="K96" s="112"/>
      <c r="L96" s="5"/>
      <c r="M96" s="5"/>
      <c r="N96" s="5"/>
      <c r="O96" s="5"/>
      <c r="P96" s="5"/>
      <c r="Q96" s="5"/>
      <c r="R96" s="5"/>
      <c r="S96" s="5"/>
      <c r="T96" s="5"/>
      <c r="U96" s="5"/>
      <c r="V96" s="5"/>
      <c r="W96" s="5"/>
      <c r="X96" s="5"/>
      <c r="Y96" s="5"/>
    </row>
    <row r="97" ht="15.75" customHeight="1">
      <c r="A97" s="5"/>
      <c r="B97" s="5"/>
      <c r="C97" s="5"/>
      <c r="D97" s="5"/>
      <c r="E97" s="5"/>
      <c r="F97" s="5"/>
      <c r="G97" s="112"/>
      <c r="H97" s="112"/>
      <c r="I97" s="112"/>
      <c r="J97" s="112"/>
      <c r="K97" s="112"/>
      <c r="L97" s="5"/>
      <c r="M97" s="5"/>
      <c r="N97" s="5"/>
      <c r="O97" s="5"/>
      <c r="P97" s="5"/>
      <c r="Q97" s="5"/>
      <c r="R97" s="5"/>
      <c r="S97" s="5"/>
      <c r="T97" s="5"/>
      <c r="U97" s="5"/>
      <c r="V97" s="5"/>
      <c r="W97" s="5"/>
      <c r="X97" s="5"/>
      <c r="Y97" s="5"/>
    </row>
    <row r="98" ht="15.75" customHeight="1">
      <c r="A98" s="5"/>
      <c r="B98" s="5"/>
      <c r="C98" s="5"/>
      <c r="D98" s="5"/>
      <c r="E98" s="5"/>
      <c r="F98" s="5"/>
      <c r="G98" s="112"/>
      <c r="H98" s="112"/>
      <c r="I98" s="112"/>
      <c r="J98" s="112"/>
      <c r="K98" s="112"/>
      <c r="L98" s="5"/>
      <c r="M98" s="5"/>
      <c r="N98" s="5"/>
      <c r="O98" s="5"/>
      <c r="P98" s="5"/>
      <c r="Q98" s="5"/>
      <c r="R98" s="5"/>
      <c r="S98" s="5"/>
      <c r="T98" s="5"/>
      <c r="U98" s="5"/>
      <c r="V98" s="5"/>
      <c r="W98" s="5"/>
      <c r="X98" s="5"/>
      <c r="Y98" s="5"/>
    </row>
    <row r="99" ht="15.75" customHeight="1">
      <c r="A99" s="5"/>
      <c r="B99" s="5"/>
      <c r="C99" s="5"/>
      <c r="D99" s="5"/>
      <c r="E99" s="5"/>
      <c r="F99" s="5"/>
      <c r="G99" s="112"/>
      <c r="H99" s="112"/>
      <c r="I99" s="112"/>
      <c r="J99" s="112"/>
      <c r="K99" s="112"/>
      <c r="L99" s="5"/>
      <c r="M99" s="5"/>
      <c r="N99" s="5"/>
      <c r="O99" s="5"/>
      <c r="P99" s="5"/>
      <c r="Q99" s="5"/>
      <c r="R99" s="5"/>
      <c r="S99" s="5"/>
      <c r="T99" s="5"/>
      <c r="U99" s="5"/>
      <c r="V99" s="5"/>
      <c r="W99" s="5"/>
      <c r="X99" s="5"/>
      <c r="Y99" s="5"/>
    </row>
    <row r="100" ht="15.75" customHeight="1">
      <c r="A100" s="5"/>
      <c r="B100" s="5"/>
      <c r="C100" s="5"/>
      <c r="D100" s="5"/>
      <c r="E100" s="5"/>
      <c r="F100" s="5"/>
      <c r="G100" s="112"/>
      <c r="H100" s="112"/>
      <c r="I100" s="112"/>
      <c r="J100" s="112"/>
      <c r="K100" s="112"/>
      <c r="L100" s="5"/>
      <c r="M100" s="5"/>
      <c r="N100" s="5"/>
      <c r="O100" s="5"/>
      <c r="P100" s="5"/>
      <c r="Q100" s="5"/>
      <c r="R100" s="5"/>
      <c r="S100" s="5"/>
      <c r="T100" s="5"/>
      <c r="U100" s="5"/>
      <c r="V100" s="5"/>
      <c r="W100" s="5"/>
      <c r="X100" s="5"/>
      <c r="Y100" s="5"/>
    </row>
    <row r="101" ht="15.75" customHeight="1">
      <c r="A101" s="5"/>
      <c r="B101" s="5"/>
      <c r="C101" s="5"/>
      <c r="D101" s="5"/>
      <c r="E101" s="5"/>
      <c r="F101" s="5"/>
      <c r="G101" s="112"/>
      <c r="H101" s="112"/>
      <c r="I101" s="112"/>
      <c r="J101" s="112"/>
      <c r="K101" s="112"/>
      <c r="L101" s="5"/>
      <c r="M101" s="5"/>
      <c r="N101" s="5"/>
      <c r="O101" s="5"/>
      <c r="P101" s="5"/>
      <c r="Q101" s="5"/>
      <c r="R101" s="5"/>
      <c r="S101" s="5"/>
      <c r="T101" s="5"/>
      <c r="U101" s="5"/>
      <c r="V101" s="5"/>
      <c r="W101" s="5"/>
      <c r="X101" s="5"/>
      <c r="Y101" s="5"/>
    </row>
    <row r="102" ht="15.75" customHeight="1">
      <c r="A102" s="5"/>
      <c r="B102" s="5"/>
      <c r="C102" s="5"/>
      <c r="D102" s="5"/>
      <c r="E102" s="5"/>
      <c r="F102" s="5"/>
      <c r="G102" s="112"/>
      <c r="H102" s="112"/>
      <c r="I102" s="112"/>
      <c r="J102" s="112"/>
      <c r="K102" s="112"/>
      <c r="L102" s="5"/>
      <c r="M102" s="5"/>
      <c r="N102" s="5"/>
      <c r="O102" s="5"/>
      <c r="P102" s="5"/>
      <c r="Q102" s="5"/>
      <c r="R102" s="5"/>
      <c r="S102" s="5"/>
      <c r="T102" s="5"/>
      <c r="U102" s="5"/>
      <c r="V102" s="5"/>
      <c r="W102" s="5"/>
      <c r="X102" s="5"/>
      <c r="Y102" s="5"/>
    </row>
    <row r="103" ht="15.75" customHeight="1">
      <c r="A103" s="5"/>
      <c r="B103" s="5"/>
      <c r="C103" s="5"/>
      <c r="D103" s="5"/>
      <c r="E103" s="5"/>
      <c r="F103" s="5"/>
      <c r="G103" s="112"/>
      <c r="H103" s="112"/>
      <c r="I103" s="112"/>
      <c r="J103" s="112"/>
      <c r="K103" s="112"/>
      <c r="L103" s="5"/>
      <c r="M103" s="5"/>
      <c r="N103" s="5"/>
      <c r="O103" s="5"/>
      <c r="P103" s="5"/>
      <c r="Q103" s="5"/>
      <c r="R103" s="5"/>
      <c r="S103" s="5"/>
      <c r="T103" s="5"/>
      <c r="U103" s="5"/>
      <c r="V103" s="5"/>
      <c r="W103" s="5"/>
      <c r="X103" s="5"/>
      <c r="Y103" s="5"/>
    </row>
    <row r="104" ht="15.75" customHeight="1">
      <c r="A104" s="5"/>
      <c r="B104" s="5"/>
      <c r="C104" s="5"/>
      <c r="D104" s="5"/>
      <c r="E104" s="5"/>
      <c r="F104" s="5"/>
      <c r="G104" s="112"/>
      <c r="H104" s="112"/>
      <c r="I104" s="112"/>
      <c r="J104" s="112"/>
      <c r="K104" s="112"/>
      <c r="L104" s="5"/>
      <c r="M104" s="5"/>
      <c r="N104" s="5"/>
      <c r="O104" s="5"/>
      <c r="P104" s="5"/>
      <c r="Q104" s="5"/>
      <c r="R104" s="5"/>
      <c r="S104" s="5"/>
      <c r="T104" s="5"/>
      <c r="U104" s="5"/>
      <c r="V104" s="5"/>
      <c r="W104" s="5"/>
      <c r="X104" s="5"/>
      <c r="Y104" s="5"/>
    </row>
    <row r="105" ht="15.75" customHeight="1">
      <c r="A105" s="5"/>
      <c r="B105" s="5"/>
      <c r="C105" s="5"/>
      <c r="D105" s="5"/>
      <c r="E105" s="5"/>
      <c r="F105" s="5"/>
      <c r="G105" s="112"/>
      <c r="H105" s="112"/>
      <c r="I105" s="112"/>
      <c r="J105" s="112"/>
      <c r="K105" s="112"/>
      <c r="L105" s="5"/>
      <c r="M105" s="5"/>
      <c r="N105" s="5"/>
      <c r="O105" s="5"/>
      <c r="P105" s="5"/>
      <c r="Q105" s="5"/>
      <c r="R105" s="5"/>
      <c r="S105" s="5"/>
      <c r="T105" s="5"/>
      <c r="U105" s="5"/>
      <c r="V105" s="5"/>
      <c r="W105" s="5"/>
      <c r="X105" s="5"/>
      <c r="Y105" s="5"/>
    </row>
    <row r="106" ht="15.75" customHeight="1">
      <c r="A106" s="5"/>
      <c r="B106" s="5"/>
      <c r="C106" s="5"/>
      <c r="D106" s="5"/>
      <c r="E106" s="5"/>
      <c r="F106" s="5"/>
      <c r="G106" s="112"/>
      <c r="H106" s="112"/>
      <c r="I106" s="112"/>
      <c r="J106" s="112"/>
      <c r="K106" s="112"/>
      <c r="L106" s="5"/>
      <c r="M106" s="5"/>
      <c r="N106" s="5"/>
      <c r="O106" s="5"/>
      <c r="P106" s="5"/>
      <c r="Q106" s="5"/>
      <c r="R106" s="5"/>
      <c r="S106" s="5"/>
      <c r="T106" s="5"/>
      <c r="U106" s="5"/>
      <c r="V106" s="5"/>
      <c r="W106" s="5"/>
      <c r="X106" s="5"/>
      <c r="Y106" s="5"/>
    </row>
    <row r="107" ht="15.75" customHeight="1">
      <c r="A107" s="5"/>
      <c r="B107" s="5"/>
      <c r="C107" s="5"/>
      <c r="D107" s="5"/>
      <c r="E107" s="5"/>
      <c r="F107" s="5"/>
      <c r="G107" s="112"/>
      <c r="H107" s="112"/>
      <c r="I107" s="112"/>
      <c r="J107" s="112"/>
      <c r="K107" s="112"/>
      <c r="L107" s="5"/>
      <c r="M107" s="5"/>
      <c r="N107" s="5"/>
      <c r="O107" s="5"/>
      <c r="P107" s="5"/>
      <c r="Q107" s="5"/>
      <c r="R107" s="5"/>
      <c r="S107" s="5"/>
      <c r="T107" s="5"/>
      <c r="U107" s="5"/>
      <c r="V107" s="5"/>
      <c r="W107" s="5"/>
      <c r="X107" s="5"/>
      <c r="Y107" s="5"/>
    </row>
    <row r="108" ht="15.75" customHeight="1">
      <c r="A108" s="5"/>
      <c r="B108" s="5"/>
      <c r="C108" s="5"/>
      <c r="D108" s="5"/>
      <c r="E108" s="5"/>
      <c r="F108" s="5"/>
      <c r="G108" s="112"/>
      <c r="H108" s="112"/>
      <c r="I108" s="112"/>
      <c r="J108" s="112"/>
      <c r="K108" s="112"/>
      <c r="L108" s="5"/>
      <c r="M108" s="5"/>
      <c r="N108" s="5"/>
      <c r="O108" s="5"/>
      <c r="P108" s="5"/>
      <c r="Q108" s="5"/>
      <c r="R108" s="5"/>
      <c r="S108" s="5"/>
      <c r="T108" s="5"/>
      <c r="U108" s="5"/>
      <c r="V108" s="5"/>
      <c r="W108" s="5"/>
      <c r="X108" s="5"/>
      <c r="Y108" s="5"/>
    </row>
    <row r="109" ht="15.75" customHeight="1">
      <c r="A109" s="5"/>
      <c r="B109" s="5"/>
      <c r="C109" s="5"/>
      <c r="D109" s="5"/>
      <c r="E109" s="5"/>
      <c r="F109" s="5"/>
      <c r="G109" s="112"/>
      <c r="H109" s="112"/>
      <c r="I109" s="112"/>
      <c r="J109" s="112"/>
      <c r="K109" s="112"/>
      <c r="L109" s="5"/>
      <c r="M109" s="5"/>
      <c r="N109" s="5"/>
      <c r="O109" s="5"/>
      <c r="P109" s="5"/>
      <c r="Q109" s="5"/>
      <c r="R109" s="5"/>
      <c r="S109" s="5"/>
      <c r="T109" s="5"/>
      <c r="U109" s="5"/>
      <c r="V109" s="5"/>
      <c r="W109" s="5"/>
      <c r="X109" s="5"/>
      <c r="Y109" s="5"/>
    </row>
    <row r="110" ht="15.75" customHeight="1">
      <c r="A110" s="5"/>
      <c r="B110" s="5"/>
      <c r="C110" s="5"/>
      <c r="D110" s="5"/>
      <c r="E110" s="5"/>
      <c r="F110" s="5"/>
      <c r="G110" s="112"/>
      <c r="H110" s="112"/>
      <c r="I110" s="112"/>
      <c r="J110" s="112"/>
      <c r="K110" s="112"/>
      <c r="L110" s="5"/>
      <c r="M110" s="5"/>
      <c r="N110" s="5"/>
      <c r="O110" s="5"/>
      <c r="P110" s="5"/>
      <c r="Q110" s="5"/>
      <c r="R110" s="5"/>
      <c r="S110" s="5"/>
      <c r="T110" s="5"/>
      <c r="U110" s="5"/>
      <c r="V110" s="5"/>
      <c r="W110" s="5"/>
      <c r="X110" s="5"/>
      <c r="Y110" s="5"/>
    </row>
    <row r="111" ht="15.75" customHeight="1">
      <c r="A111" s="5"/>
      <c r="B111" s="5"/>
      <c r="C111" s="5"/>
      <c r="D111" s="5"/>
      <c r="E111" s="5"/>
      <c r="F111" s="5"/>
      <c r="G111" s="112"/>
      <c r="H111" s="112"/>
      <c r="I111" s="112"/>
      <c r="J111" s="112"/>
      <c r="K111" s="112"/>
      <c r="L111" s="5"/>
      <c r="M111" s="5"/>
      <c r="N111" s="5"/>
      <c r="O111" s="5"/>
      <c r="P111" s="5"/>
      <c r="Q111" s="5"/>
      <c r="R111" s="5"/>
      <c r="S111" s="5"/>
      <c r="T111" s="5"/>
      <c r="U111" s="5"/>
      <c r="V111" s="5"/>
      <c r="W111" s="5"/>
      <c r="X111" s="5"/>
      <c r="Y111" s="5"/>
    </row>
    <row r="112" ht="15.75" customHeight="1">
      <c r="A112" s="5"/>
      <c r="B112" s="5"/>
      <c r="C112" s="5"/>
      <c r="D112" s="5"/>
      <c r="E112" s="5"/>
      <c r="F112" s="5"/>
      <c r="G112" s="112"/>
      <c r="H112" s="112"/>
      <c r="I112" s="112"/>
      <c r="J112" s="112"/>
      <c r="K112" s="112"/>
      <c r="L112" s="5"/>
      <c r="M112" s="5"/>
      <c r="N112" s="5"/>
      <c r="O112" s="5"/>
      <c r="P112" s="5"/>
      <c r="Q112" s="5"/>
      <c r="R112" s="5"/>
      <c r="S112" s="5"/>
      <c r="T112" s="5"/>
      <c r="U112" s="5"/>
      <c r="V112" s="5"/>
      <c r="W112" s="5"/>
      <c r="X112" s="5"/>
      <c r="Y112" s="5"/>
    </row>
    <row r="113" ht="15.75" customHeight="1">
      <c r="A113" s="5"/>
      <c r="B113" s="5"/>
      <c r="C113" s="5"/>
      <c r="D113" s="5"/>
      <c r="E113" s="5"/>
      <c r="F113" s="5"/>
      <c r="G113" s="112"/>
      <c r="H113" s="112"/>
      <c r="I113" s="112"/>
      <c r="J113" s="112"/>
      <c r="K113" s="112"/>
      <c r="L113" s="5"/>
      <c r="M113" s="5"/>
      <c r="N113" s="5"/>
      <c r="O113" s="5"/>
      <c r="P113" s="5"/>
      <c r="Q113" s="5"/>
      <c r="R113" s="5"/>
      <c r="S113" s="5"/>
      <c r="T113" s="5"/>
      <c r="U113" s="5"/>
      <c r="V113" s="5"/>
      <c r="W113" s="5"/>
      <c r="X113" s="5"/>
      <c r="Y113" s="5"/>
    </row>
    <row r="114" ht="15.75" customHeight="1">
      <c r="A114" s="5"/>
      <c r="B114" s="5"/>
      <c r="C114" s="5"/>
      <c r="D114" s="5"/>
      <c r="E114" s="5"/>
      <c r="F114" s="5"/>
      <c r="G114" s="112"/>
      <c r="H114" s="112"/>
      <c r="I114" s="112"/>
      <c r="J114" s="112"/>
      <c r="K114" s="112"/>
      <c r="L114" s="5"/>
      <c r="M114" s="5"/>
      <c r="N114" s="5"/>
      <c r="O114" s="5"/>
      <c r="P114" s="5"/>
      <c r="Q114" s="5"/>
      <c r="R114" s="5"/>
      <c r="S114" s="5"/>
      <c r="T114" s="5"/>
      <c r="U114" s="5"/>
      <c r="V114" s="5"/>
      <c r="W114" s="5"/>
      <c r="X114" s="5"/>
      <c r="Y114" s="5"/>
    </row>
    <row r="115" ht="15.75" customHeight="1">
      <c r="A115" s="5"/>
      <c r="B115" s="5"/>
      <c r="C115" s="5"/>
      <c r="D115" s="5"/>
      <c r="E115" s="5"/>
      <c r="F115" s="5"/>
      <c r="G115" s="112"/>
      <c r="H115" s="112"/>
      <c r="I115" s="112"/>
      <c r="J115" s="112"/>
      <c r="K115" s="112"/>
      <c r="L115" s="5"/>
      <c r="M115" s="5"/>
      <c r="N115" s="5"/>
      <c r="O115" s="5"/>
      <c r="P115" s="5"/>
      <c r="Q115" s="5"/>
      <c r="R115" s="5"/>
      <c r="S115" s="5"/>
      <c r="T115" s="5"/>
      <c r="U115" s="5"/>
      <c r="V115" s="5"/>
      <c r="W115" s="5"/>
      <c r="X115" s="5"/>
      <c r="Y115" s="5"/>
    </row>
    <row r="116" ht="15.75" customHeight="1">
      <c r="A116" s="5"/>
      <c r="B116" s="5"/>
      <c r="C116" s="5"/>
      <c r="D116" s="5"/>
      <c r="E116" s="5"/>
      <c r="F116" s="5"/>
      <c r="G116" s="112"/>
      <c r="H116" s="112"/>
      <c r="I116" s="112"/>
      <c r="J116" s="112"/>
      <c r="K116" s="112"/>
      <c r="L116" s="5"/>
      <c r="M116" s="5"/>
      <c r="N116" s="5"/>
      <c r="O116" s="5"/>
      <c r="P116" s="5"/>
      <c r="Q116" s="5"/>
      <c r="R116" s="5"/>
      <c r="S116" s="5"/>
      <c r="T116" s="5"/>
      <c r="U116" s="5"/>
      <c r="V116" s="5"/>
      <c r="W116" s="5"/>
      <c r="X116" s="5"/>
      <c r="Y116" s="5"/>
    </row>
    <row r="117" ht="15.75" customHeight="1">
      <c r="A117" s="5"/>
      <c r="B117" s="5"/>
      <c r="C117" s="5"/>
      <c r="D117" s="5"/>
      <c r="E117" s="5"/>
      <c r="F117" s="5"/>
      <c r="G117" s="112"/>
      <c r="H117" s="112"/>
      <c r="I117" s="112"/>
      <c r="J117" s="112"/>
      <c r="K117" s="112"/>
      <c r="L117" s="5"/>
      <c r="M117" s="5"/>
      <c r="N117" s="5"/>
      <c r="O117" s="5"/>
      <c r="P117" s="5"/>
      <c r="Q117" s="5"/>
      <c r="R117" s="5"/>
      <c r="S117" s="5"/>
      <c r="T117" s="5"/>
      <c r="U117" s="5"/>
      <c r="V117" s="5"/>
      <c r="W117" s="5"/>
      <c r="X117" s="5"/>
      <c r="Y117" s="5"/>
    </row>
    <row r="118" ht="15.75" customHeight="1">
      <c r="A118" s="5"/>
      <c r="B118" s="5"/>
      <c r="C118" s="5"/>
      <c r="D118" s="5"/>
      <c r="E118" s="5"/>
      <c r="F118" s="5"/>
      <c r="G118" s="112"/>
      <c r="H118" s="112"/>
      <c r="I118" s="112"/>
      <c r="J118" s="112"/>
      <c r="K118" s="112"/>
      <c r="L118" s="5"/>
      <c r="M118" s="5"/>
      <c r="N118" s="5"/>
      <c r="O118" s="5"/>
      <c r="P118" s="5"/>
      <c r="Q118" s="5"/>
      <c r="R118" s="5"/>
      <c r="S118" s="5"/>
      <c r="T118" s="5"/>
      <c r="U118" s="5"/>
      <c r="V118" s="5"/>
      <c r="W118" s="5"/>
      <c r="X118" s="5"/>
      <c r="Y118" s="5"/>
    </row>
    <row r="119" ht="15.75" customHeight="1">
      <c r="A119" s="5"/>
      <c r="B119" s="5"/>
      <c r="C119" s="5"/>
      <c r="D119" s="5"/>
      <c r="E119" s="5"/>
      <c r="F119" s="5"/>
      <c r="G119" s="112"/>
      <c r="H119" s="112"/>
      <c r="I119" s="112"/>
      <c r="J119" s="112"/>
      <c r="K119" s="112"/>
      <c r="L119" s="5"/>
      <c r="M119" s="5"/>
      <c r="N119" s="5"/>
      <c r="O119" s="5"/>
      <c r="P119" s="5"/>
      <c r="Q119" s="5"/>
      <c r="R119" s="5"/>
      <c r="S119" s="5"/>
      <c r="T119" s="5"/>
      <c r="U119" s="5"/>
      <c r="V119" s="5"/>
      <c r="W119" s="5"/>
      <c r="X119" s="5"/>
      <c r="Y119" s="5"/>
    </row>
    <row r="120" ht="15.75" customHeight="1">
      <c r="A120" s="5"/>
      <c r="B120" s="5"/>
      <c r="C120" s="5"/>
      <c r="D120" s="5"/>
      <c r="E120" s="5"/>
      <c r="F120" s="5"/>
      <c r="G120" s="112"/>
      <c r="H120" s="112"/>
      <c r="I120" s="112"/>
      <c r="J120" s="112"/>
      <c r="K120" s="112"/>
      <c r="L120" s="5"/>
      <c r="M120" s="5"/>
      <c r="N120" s="5"/>
      <c r="O120" s="5"/>
      <c r="P120" s="5"/>
      <c r="Q120" s="5"/>
      <c r="R120" s="5"/>
      <c r="S120" s="5"/>
      <c r="T120" s="5"/>
      <c r="U120" s="5"/>
      <c r="V120" s="5"/>
      <c r="W120" s="5"/>
      <c r="X120" s="5"/>
      <c r="Y120" s="5"/>
    </row>
    <row r="121" ht="15.75" customHeight="1">
      <c r="A121" s="5"/>
      <c r="B121" s="5"/>
      <c r="C121" s="5"/>
      <c r="D121" s="5"/>
      <c r="E121" s="5"/>
      <c r="F121" s="5"/>
      <c r="G121" s="112"/>
      <c r="H121" s="112"/>
      <c r="I121" s="112"/>
      <c r="J121" s="112"/>
      <c r="K121" s="112"/>
      <c r="L121" s="5"/>
      <c r="M121" s="5"/>
      <c r="N121" s="5"/>
      <c r="O121" s="5"/>
      <c r="P121" s="5"/>
      <c r="Q121" s="5"/>
      <c r="R121" s="5"/>
      <c r="S121" s="5"/>
      <c r="T121" s="5"/>
      <c r="U121" s="5"/>
      <c r="V121" s="5"/>
      <c r="W121" s="5"/>
      <c r="X121" s="5"/>
      <c r="Y121" s="5"/>
    </row>
    <row r="122" ht="15.75" customHeight="1">
      <c r="A122" s="5"/>
      <c r="B122" s="5"/>
      <c r="C122" s="5"/>
      <c r="D122" s="5"/>
      <c r="E122" s="5"/>
      <c r="F122" s="5"/>
      <c r="G122" s="112"/>
      <c r="H122" s="112"/>
      <c r="I122" s="112"/>
      <c r="J122" s="112"/>
      <c r="K122" s="112"/>
      <c r="L122" s="5"/>
      <c r="M122" s="5"/>
      <c r="N122" s="5"/>
      <c r="O122" s="5"/>
      <c r="P122" s="5"/>
      <c r="Q122" s="5"/>
      <c r="R122" s="5"/>
      <c r="S122" s="5"/>
      <c r="T122" s="5"/>
      <c r="U122" s="5"/>
      <c r="V122" s="5"/>
      <c r="W122" s="5"/>
      <c r="X122" s="5"/>
      <c r="Y122" s="5"/>
    </row>
    <row r="123" ht="15.75" customHeight="1">
      <c r="A123" s="5"/>
      <c r="B123" s="5"/>
      <c r="C123" s="5"/>
      <c r="D123" s="5"/>
      <c r="E123" s="5"/>
      <c r="F123" s="5"/>
      <c r="G123" s="112"/>
      <c r="H123" s="112"/>
      <c r="I123" s="112"/>
      <c r="J123" s="112"/>
      <c r="K123" s="112"/>
      <c r="L123" s="5"/>
      <c r="M123" s="5"/>
      <c r="N123" s="5"/>
      <c r="O123" s="5"/>
      <c r="P123" s="5"/>
      <c r="Q123" s="5"/>
      <c r="R123" s="5"/>
      <c r="S123" s="5"/>
      <c r="T123" s="5"/>
      <c r="U123" s="5"/>
      <c r="V123" s="5"/>
      <c r="W123" s="5"/>
      <c r="X123" s="5"/>
      <c r="Y123" s="5"/>
    </row>
    <row r="124" ht="15.75" customHeight="1">
      <c r="A124" s="5"/>
      <c r="B124" s="5"/>
      <c r="C124" s="5"/>
      <c r="D124" s="5"/>
      <c r="E124" s="5"/>
      <c r="F124" s="5"/>
      <c r="G124" s="112"/>
      <c r="H124" s="112"/>
      <c r="I124" s="112"/>
      <c r="J124" s="112"/>
      <c r="K124" s="112"/>
      <c r="L124" s="5"/>
      <c r="M124" s="5"/>
      <c r="N124" s="5"/>
      <c r="O124" s="5"/>
      <c r="P124" s="5"/>
      <c r="Q124" s="5"/>
      <c r="R124" s="5"/>
      <c r="S124" s="5"/>
      <c r="T124" s="5"/>
      <c r="U124" s="5"/>
      <c r="V124" s="5"/>
      <c r="W124" s="5"/>
      <c r="X124" s="5"/>
      <c r="Y124" s="5"/>
    </row>
    <row r="125" ht="15.75" customHeight="1">
      <c r="A125" s="5"/>
      <c r="B125" s="5"/>
      <c r="C125" s="5"/>
      <c r="D125" s="5"/>
      <c r="E125" s="5"/>
      <c r="F125" s="5"/>
      <c r="G125" s="112"/>
      <c r="H125" s="112"/>
      <c r="I125" s="112"/>
      <c r="J125" s="112"/>
      <c r="K125" s="112"/>
      <c r="L125" s="5"/>
      <c r="M125" s="5"/>
      <c r="N125" s="5"/>
      <c r="O125" s="5"/>
      <c r="P125" s="5"/>
      <c r="Q125" s="5"/>
      <c r="R125" s="5"/>
      <c r="S125" s="5"/>
      <c r="T125" s="5"/>
      <c r="U125" s="5"/>
      <c r="V125" s="5"/>
      <c r="W125" s="5"/>
      <c r="X125" s="5"/>
      <c r="Y125" s="5"/>
    </row>
    <row r="126" ht="15.75" customHeight="1">
      <c r="A126" s="5"/>
      <c r="B126" s="5"/>
      <c r="C126" s="5"/>
      <c r="D126" s="5"/>
      <c r="E126" s="5"/>
      <c r="F126" s="5"/>
      <c r="G126" s="112"/>
      <c r="H126" s="112"/>
      <c r="I126" s="112"/>
      <c r="J126" s="112"/>
      <c r="K126" s="112"/>
      <c r="L126" s="5"/>
      <c r="M126" s="5"/>
      <c r="N126" s="5"/>
      <c r="O126" s="5"/>
      <c r="P126" s="5"/>
      <c r="Q126" s="5"/>
      <c r="R126" s="5"/>
      <c r="S126" s="5"/>
      <c r="T126" s="5"/>
      <c r="U126" s="5"/>
      <c r="V126" s="5"/>
      <c r="W126" s="5"/>
      <c r="X126" s="5"/>
      <c r="Y126" s="5"/>
    </row>
    <row r="127" ht="15.75" customHeight="1">
      <c r="A127" s="5"/>
      <c r="B127" s="5"/>
      <c r="C127" s="5"/>
      <c r="D127" s="5"/>
      <c r="E127" s="5"/>
      <c r="F127" s="5"/>
      <c r="G127" s="112"/>
      <c r="H127" s="112"/>
      <c r="I127" s="112"/>
      <c r="J127" s="112"/>
      <c r="K127" s="112"/>
      <c r="L127" s="5"/>
      <c r="M127" s="5"/>
      <c r="N127" s="5"/>
      <c r="O127" s="5"/>
      <c r="P127" s="5"/>
      <c r="Q127" s="5"/>
      <c r="R127" s="5"/>
      <c r="S127" s="5"/>
      <c r="T127" s="5"/>
      <c r="U127" s="5"/>
      <c r="V127" s="5"/>
      <c r="W127" s="5"/>
      <c r="X127" s="5"/>
      <c r="Y127" s="5"/>
    </row>
    <row r="128" ht="15.75" customHeight="1">
      <c r="A128" s="5"/>
      <c r="B128" s="5"/>
      <c r="C128" s="5"/>
      <c r="D128" s="5"/>
      <c r="E128" s="5"/>
      <c r="F128" s="5"/>
      <c r="G128" s="112"/>
      <c r="H128" s="112"/>
      <c r="I128" s="112"/>
      <c r="J128" s="112"/>
      <c r="K128" s="112"/>
      <c r="L128" s="5"/>
      <c r="M128" s="5"/>
      <c r="N128" s="5"/>
      <c r="O128" s="5"/>
      <c r="P128" s="5"/>
      <c r="Q128" s="5"/>
      <c r="R128" s="5"/>
      <c r="S128" s="5"/>
      <c r="T128" s="5"/>
      <c r="U128" s="5"/>
      <c r="V128" s="5"/>
      <c r="W128" s="5"/>
      <c r="X128" s="5"/>
      <c r="Y128" s="5"/>
    </row>
    <row r="129" ht="15.75" customHeight="1">
      <c r="A129" s="5"/>
      <c r="B129" s="5"/>
      <c r="C129" s="5"/>
      <c r="D129" s="5"/>
      <c r="E129" s="5"/>
      <c r="F129" s="5"/>
      <c r="G129" s="112"/>
      <c r="H129" s="112"/>
      <c r="I129" s="112"/>
      <c r="J129" s="112"/>
      <c r="K129" s="112"/>
      <c r="L129" s="5"/>
      <c r="M129" s="5"/>
      <c r="N129" s="5"/>
      <c r="O129" s="5"/>
      <c r="P129" s="5"/>
      <c r="Q129" s="5"/>
      <c r="R129" s="5"/>
      <c r="S129" s="5"/>
      <c r="T129" s="5"/>
      <c r="U129" s="5"/>
      <c r="V129" s="5"/>
      <c r="W129" s="5"/>
      <c r="X129" s="5"/>
      <c r="Y129" s="5"/>
    </row>
    <row r="130" ht="15.75" customHeight="1">
      <c r="A130" s="5"/>
      <c r="B130" s="5"/>
      <c r="C130" s="5"/>
      <c r="D130" s="5"/>
      <c r="E130" s="5"/>
      <c r="F130" s="5"/>
      <c r="G130" s="112"/>
      <c r="H130" s="112"/>
      <c r="I130" s="112"/>
      <c r="J130" s="112"/>
      <c r="K130" s="112"/>
      <c r="L130" s="5"/>
      <c r="M130" s="5"/>
      <c r="N130" s="5"/>
      <c r="O130" s="5"/>
      <c r="P130" s="5"/>
      <c r="Q130" s="5"/>
      <c r="R130" s="5"/>
      <c r="S130" s="5"/>
      <c r="T130" s="5"/>
      <c r="U130" s="5"/>
      <c r="V130" s="5"/>
      <c r="W130" s="5"/>
      <c r="X130" s="5"/>
      <c r="Y130" s="5"/>
    </row>
    <row r="131" ht="15.75" customHeight="1">
      <c r="A131" s="5"/>
      <c r="B131" s="5"/>
      <c r="C131" s="5"/>
      <c r="D131" s="5"/>
      <c r="E131" s="5"/>
      <c r="F131" s="5"/>
      <c r="G131" s="112"/>
      <c r="H131" s="112"/>
      <c r="I131" s="112"/>
      <c r="J131" s="112"/>
      <c r="K131" s="112"/>
      <c r="L131" s="5"/>
      <c r="M131" s="5"/>
      <c r="N131" s="5"/>
      <c r="O131" s="5"/>
      <c r="P131" s="5"/>
      <c r="Q131" s="5"/>
      <c r="R131" s="5"/>
      <c r="S131" s="5"/>
      <c r="T131" s="5"/>
      <c r="U131" s="5"/>
      <c r="V131" s="5"/>
      <c r="W131" s="5"/>
      <c r="X131" s="5"/>
      <c r="Y131" s="5"/>
    </row>
    <row r="132" ht="15.75" customHeight="1">
      <c r="A132" s="5"/>
      <c r="B132" s="5"/>
      <c r="C132" s="5"/>
      <c r="D132" s="5"/>
      <c r="E132" s="5"/>
      <c r="F132" s="5"/>
      <c r="G132" s="112"/>
      <c r="H132" s="112"/>
      <c r="I132" s="112"/>
      <c r="J132" s="112"/>
      <c r="K132" s="112"/>
      <c r="L132" s="5"/>
      <c r="M132" s="5"/>
      <c r="N132" s="5"/>
      <c r="O132" s="5"/>
      <c r="P132" s="5"/>
      <c r="Q132" s="5"/>
      <c r="R132" s="5"/>
      <c r="S132" s="5"/>
      <c r="T132" s="5"/>
      <c r="U132" s="5"/>
      <c r="V132" s="5"/>
      <c r="W132" s="5"/>
      <c r="X132" s="5"/>
      <c r="Y132" s="5"/>
    </row>
    <row r="133" ht="15.75" customHeight="1">
      <c r="A133" s="5"/>
      <c r="B133" s="5"/>
      <c r="C133" s="5"/>
      <c r="D133" s="5"/>
      <c r="E133" s="5"/>
      <c r="F133" s="5"/>
      <c r="G133" s="112"/>
      <c r="H133" s="112"/>
      <c r="I133" s="112"/>
      <c r="J133" s="112"/>
      <c r="K133" s="112"/>
      <c r="L133" s="5"/>
      <c r="M133" s="5"/>
      <c r="N133" s="5"/>
      <c r="O133" s="5"/>
      <c r="P133" s="5"/>
      <c r="Q133" s="5"/>
      <c r="R133" s="5"/>
      <c r="S133" s="5"/>
      <c r="T133" s="5"/>
      <c r="U133" s="5"/>
      <c r="V133" s="5"/>
      <c r="W133" s="5"/>
      <c r="X133" s="5"/>
      <c r="Y133" s="5"/>
    </row>
    <row r="134" ht="15.75" customHeight="1">
      <c r="A134" s="5"/>
      <c r="B134" s="5"/>
      <c r="C134" s="5"/>
      <c r="D134" s="5"/>
      <c r="E134" s="5"/>
      <c r="F134" s="5"/>
      <c r="G134" s="112"/>
      <c r="H134" s="112"/>
      <c r="I134" s="112"/>
      <c r="J134" s="112"/>
      <c r="K134" s="112"/>
      <c r="L134" s="5"/>
      <c r="M134" s="5"/>
      <c r="N134" s="5"/>
      <c r="O134" s="5"/>
      <c r="P134" s="5"/>
      <c r="Q134" s="5"/>
      <c r="R134" s="5"/>
      <c r="S134" s="5"/>
      <c r="T134" s="5"/>
      <c r="U134" s="5"/>
      <c r="V134" s="5"/>
      <c r="W134" s="5"/>
      <c r="X134" s="5"/>
      <c r="Y134" s="5"/>
    </row>
    <row r="135" ht="15.75" customHeight="1">
      <c r="A135" s="5"/>
      <c r="B135" s="5"/>
      <c r="C135" s="5"/>
      <c r="D135" s="5"/>
      <c r="E135" s="5"/>
      <c r="F135" s="5"/>
      <c r="G135" s="112"/>
      <c r="H135" s="112"/>
      <c r="I135" s="112"/>
      <c r="J135" s="112"/>
      <c r="K135" s="112"/>
      <c r="L135" s="5"/>
      <c r="M135" s="5"/>
      <c r="N135" s="5"/>
      <c r="O135" s="5"/>
      <c r="P135" s="5"/>
      <c r="Q135" s="5"/>
      <c r="R135" s="5"/>
      <c r="S135" s="5"/>
      <c r="T135" s="5"/>
      <c r="U135" s="5"/>
      <c r="V135" s="5"/>
      <c r="W135" s="5"/>
      <c r="X135" s="5"/>
      <c r="Y135" s="5"/>
    </row>
    <row r="136" ht="15.75" customHeight="1">
      <c r="A136" s="5"/>
      <c r="B136" s="5"/>
      <c r="C136" s="5"/>
      <c r="D136" s="5"/>
      <c r="E136" s="5"/>
      <c r="F136" s="5"/>
      <c r="G136" s="112"/>
      <c r="H136" s="112"/>
      <c r="I136" s="112"/>
      <c r="J136" s="112"/>
      <c r="K136" s="112"/>
      <c r="L136" s="5"/>
      <c r="M136" s="5"/>
      <c r="N136" s="5"/>
      <c r="O136" s="5"/>
      <c r="P136" s="5"/>
      <c r="Q136" s="5"/>
      <c r="R136" s="5"/>
      <c r="S136" s="5"/>
      <c r="T136" s="5"/>
      <c r="U136" s="5"/>
      <c r="V136" s="5"/>
      <c r="W136" s="5"/>
      <c r="X136" s="5"/>
      <c r="Y136" s="5"/>
    </row>
    <row r="137" ht="15.75" customHeight="1">
      <c r="A137" s="5"/>
      <c r="B137" s="5"/>
      <c r="C137" s="5"/>
      <c r="D137" s="5"/>
      <c r="E137" s="5"/>
      <c r="F137" s="5"/>
      <c r="G137" s="112"/>
      <c r="H137" s="112"/>
      <c r="I137" s="112"/>
      <c r="J137" s="112"/>
      <c r="K137" s="112"/>
      <c r="L137" s="5"/>
      <c r="M137" s="5"/>
      <c r="N137" s="5"/>
      <c r="O137" s="5"/>
      <c r="P137" s="5"/>
      <c r="Q137" s="5"/>
      <c r="R137" s="5"/>
      <c r="S137" s="5"/>
      <c r="T137" s="5"/>
      <c r="U137" s="5"/>
      <c r="V137" s="5"/>
      <c r="W137" s="5"/>
      <c r="X137" s="5"/>
      <c r="Y137" s="5"/>
    </row>
    <row r="138" ht="15.75" customHeight="1">
      <c r="A138" s="5"/>
      <c r="B138" s="5"/>
      <c r="C138" s="5"/>
      <c r="D138" s="5"/>
      <c r="E138" s="5"/>
      <c r="F138" s="5"/>
      <c r="G138" s="112"/>
      <c r="H138" s="112"/>
      <c r="I138" s="112"/>
      <c r="J138" s="112"/>
      <c r="K138" s="112"/>
      <c r="L138" s="5"/>
      <c r="M138" s="5"/>
      <c r="N138" s="5"/>
      <c r="O138" s="5"/>
      <c r="P138" s="5"/>
      <c r="Q138" s="5"/>
      <c r="R138" s="5"/>
      <c r="S138" s="5"/>
      <c r="T138" s="5"/>
      <c r="U138" s="5"/>
      <c r="V138" s="5"/>
      <c r="W138" s="5"/>
      <c r="X138" s="5"/>
      <c r="Y138" s="5"/>
    </row>
    <row r="139" ht="15.75" customHeight="1">
      <c r="A139" s="5"/>
      <c r="B139" s="5"/>
      <c r="C139" s="5"/>
      <c r="D139" s="5"/>
      <c r="E139" s="5"/>
      <c r="F139" s="5"/>
      <c r="G139" s="112"/>
      <c r="H139" s="112"/>
      <c r="I139" s="112"/>
      <c r="J139" s="112"/>
      <c r="K139" s="112"/>
      <c r="L139" s="5"/>
      <c r="M139" s="5"/>
      <c r="N139" s="5"/>
      <c r="O139" s="5"/>
      <c r="P139" s="5"/>
      <c r="Q139" s="5"/>
      <c r="R139" s="5"/>
      <c r="S139" s="5"/>
      <c r="T139" s="5"/>
      <c r="U139" s="5"/>
      <c r="V139" s="5"/>
      <c r="W139" s="5"/>
      <c r="X139" s="5"/>
      <c r="Y139" s="5"/>
    </row>
    <row r="140" ht="15.75" customHeight="1">
      <c r="A140" s="5"/>
      <c r="B140" s="5"/>
      <c r="C140" s="5"/>
      <c r="D140" s="5"/>
      <c r="E140" s="5"/>
      <c r="F140" s="5"/>
      <c r="G140" s="112"/>
      <c r="H140" s="112"/>
      <c r="I140" s="112"/>
      <c r="J140" s="112"/>
      <c r="K140" s="112"/>
      <c r="L140" s="5"/>
      <c r="M140" s="5"/>
      <c r="N140" s="5"/>
      <c r="O140" s="5"/>
      <c r="P140" s="5"/>
      <c r="Q140" s="5"/>
      <c r="R140" s="5"/>
      <c r="S140" s="5"/>
      <c r="T140" s="5"/>
      <c r="U140" s="5"/>
      <c r="V140" s="5"/>
      <c r="W140" s="5"/>
      <c r="X140" s="5"/>
      <c r="Y140" s="5"/>
    </row>
    <row r="141" ht="15.75" customHeight="1">
      <c r="A141" s="5"/>
      <c r="B141" s="5"/>
      <c r="C141" s="5"/>
      <c r="D141" s="5"/>
      <c r="E141" s="5"/>
      <c r="F141" s="5"/>
      <c r="G141" s="112"/>
      <c r="H141" s="112"/>
      <c r="I141" s="112"/>
      <c r="J141" s="112"/>
      <c r="K141" s="112"/>
      <c r="L141" s="5"/>
      <c r="M141" s="5"/>
      <c r="N141" s="5"/>
      <c r="O141" s="5"/>
      <c r="P141" s="5"/>
      <c r="Q141" s="5"/>
      <c r="R141" s="5"/>
      <c r="S141" s="5"/>
      <c r="T141" s="5"/>
      <c r="U141" s="5"/>
      <c r="V141" s="5"/>
      <c r="W141" s="5"/>
      <c r="X141" s="5"/>
      <c r="Y141" s="5"/>
    </row>
    <row r="142" ht="15.75" customHeight="1">
      <c r="A142" s="5"/>
      <c r="B142" s="5"/>
      <c r="C142" s="5"/>
      <c r="D142" s="5"/>
      <c r="E142" s="5"/>
      <c r="F142" s="5"/>
      <c r="G142" s="112"/>
      <c r="H142" s="112"/>
      <c r="I142" s="112"/>
      <c r="J142" s="112"/>
      <c r="K142" s="112"/>
      <c r="L142" s="5"/>
      <c r="M142" s="5"/>
      <c r="N142" s="5"/>
      <c r="O142" s="5"/>
      <c r="P142" s="5"/>
      <c r="Q142" s="5"/>
      <c r="R142" s="5"/>
      <c r="S142" s="5"/>
      <c r="T142" s="5"/>
      <c r="U142" s="5"/>
      <c r="V142" s="5"/>
      <c r="W142" s="5"/>
      <c r="X142" s="5"/>
      <c r="Y142" s="5"/>
    </row>
    <row r="143" ht="15.75" customHeight="1">
      <c r="A143" s="5"/>
      <c r="B143" s="5"/>
      <c r="C143" s="5"/>
      <c r="D143" s="5"/>
      <c r="E143" s="5"/>
      <c r="F143" s="5"/>
      <c r="G143" s="112"/>
      <c r="H143" s="112"/>
      <c r="I143" s="112"/>
      <c r="J143" s="112"/>
      <c r="K143" s="112"/>
      <c r="L143" s="5"/>
      <c r="M143" s="5"/>
      <c r="N143" s="5"/>
      <c r="O143" s="5"/>
      <c r="P143" s="5"/>
      <c r="Q143" s="5"/>
      <c r="R143" s="5"/>
      <c r="S143" s="5"/>
      <c r="T143" s="5"/>
      <c r="U143" s="5"/>
      <c r="V143" s="5"/>
      <c r="W143" s="5"/>
      <c r="X143" s="5"/>
      <c r="Y143" s="5"/>
    </row>
    <row r="144" ht="15.75" customHeight="1">
      <c r="A144" s="5"/>
      <c r="B144" s="5"/>
      <c r="C144" s="5"/>
      <c r="D144" s="5"/>
      <c r="E144" s="5"/>
      <c r="F144" s="5"/>
      <c r="G144" s="112"/>
      <c r="H144" s="112"/>
      <c r="I144" s="112"/>
      <c r="J144" s="112"/>
      <c r="K144" s="112"/>
      <c r="L144" s="5"/>
      <c r="M144" s="5"/>
      <c r="N144" s="5"/>
      <c r="O144" s="5"/>
      <c r="P144" s="5"/>
      <c r="Q144" s="5"/>
      <c r="R144" s="5"/>
      <c r="S144" s="5"/>
      <c r="T144" s="5"/>
      <c r="U144" s="5"/>
      <c r="V144" s="5"/>
      <c r="W144" s="5"/>
      <c r="X144" s="5"/>
      <c r="Y144" s="5"/>
    </row>
    <row r="145" ht="15.75" customHeight="1">
      <c r="A145" s="5"/>
      <c r="B145" s="5"/>
      <c r="C145" s="5"/>
      <c r="D145" s="5"/>
      <c r="E145" s="5"/>
      <c r="F145" s="5"/>
      <c r="G145" s="112"/>
      <c r="H145" s="112"/>
      <c r="I145" s="112"/>
      <c r="J145" s="112"/>
      <c r="K145" s="112"/>
      <c r="L145" s="5"/>
      <c r="M145" s="5"/>
      <c r="N145" s="5"/>
      <c r="O145" s="5"/>
      <c r="P145" s="5"/>
      <c r="Q145" s="5"/>
      <c r="R145" s="5"/>
      <c r="S145" s="5"/>
      <c r="T145" s="5"/>
      <c r="U145" s="5"/>
      <c r="V145" s="5"/>
      <c r="W145" s="5"/>
      <c r="X145" s="5"/>
      <c r="Y145" s="5"/>
    </row>
    <row r="146" ht="15.75" customHeight="1">
      <c r="A146" s="5"/>
      <c r="B146" s="5"/>
      <c r="C146" s="5"/>
      <c r="D146" s="5"/>
      <c r="E146" s="5"/>
      <c r="F146" s="5"/>
      <c r="G146" s="112"/>
      <c r="H146" s="112"/>
      <c r="I146" s="112"/>
      <c r="J146" s="112"/>
      <c r="K146" s="112"/>
      <c r="L146" s="5"/>
      <c r="M146" s="5"/>
      <c r="N146" s="5"/>
      <c r="O146" s="5"/>
      <c r="P146" s="5"/>
      <c r="Q146" s="5"/>
      <c r="R146" s="5"/>
      <c r="S146" s="5"/>
      <c r="T146" s="5"/>
      <c r="U146" s="5"/>
      <c r="V146" s="5"/>
      <c r="W146" s="5"/>
      <c r="X146" s="5"/>
      <c r="Y146" s="5"/>
    </row>
    <row r="147" ht="15.75" customHeight="1">
      <c r="A147" s="5"/>
      <c r="B147" s="5"/>
      <c r="C147" s="5"/>
      <c r="D147" s="5"/>
      <c r="E147" s="5"/>
      <c r="F147" s="5"/>
      <c r="G147" s="112"/>
      <c r="H147" s="112"/>
      <c r="I147" s="112"/>
      <c r="J147" s="112"/>
      <c r="K147" s="112"/>
      <c r="L147" s="5"/>
      <c r="M147" s="5"/>
      <c r="N147" s="5"/>
      <c r="O147" s="5"/>
      <c r="P147" s="5"/>
      <c r="Q147" s="5"/>
      <c r="R147" s="5"/>
      <c r="S147" s="5"/>
      <c r="T147" s="5"/>
      <c r="U147" s="5"/>
      <c r="V147" s="5"/>
      <c r="W147" s="5"/>
      <c r="X147" s="5"/>
      <c r="Y147" s="5"/>
    </row>
    <row r="148" ht="15.75" customHeight="1">
      <c r="A148" s="5"/>
      <c r="B148" s="5"/>
      <c r="C148" s="5"/>
      <c r="D148" s="5"/>
      <c r="E148" s="5"/>
      <c r="F148" s="5"/>
      <c r="G148" s="112"/>
      <c r="H148" s="112"/>
      <c r="I148" s="112"/>
      <c r="J148" s="112"/>
      <c r="K148" s="112"/>
      <c r="L148" s="5"/>
      <c r="M148" s="5"/>
      <c r="N148" s="5"/>
      <c r="O148" s="5"/>
      <c r="P148" s="5"/>
      <c r="Q148" s="5"/>
      <c r="R148" s="5"/>
      <c r="S148" s="5"/>
      <c r="T148" s="5"/>
      <c r="U148" s="5"/>
      <c r="V148" s="5"/>
      <c r="W148" s="5"/>
      <c r="X148" s="5"/>
      <c r="Y148" s="5"/>
    </row>
    <row r="149" ht="15.75" customHeight="1">
      <c r="A149" s="5"/>
      <c r="B149" s="5"/>
      <c r="C149" s="5"/>
      <c r="D149" s="5"/>
      <c r="E149" s="5"/>
      <c r="F149" s="5"/>
      <c r="G149" s="112"/>
      <c r="H149" s="112"/>
      <c r="I149" s="112"/>
      <c r="J149" s="112"/>
      <c r="K149" s="112"/>
      <c r="L149" s="5"/>
      <c r="M149" s="5"/>
      <c r="N149" s="5"/>
      <c r="O149" s="5"/>
      <c r="P149" s="5"/>
      <c r="Q149" s="5"/>
      <c r="R149" s="5"/>
      <c r="S149" s="5"/>
      <c r="T149" s="5"/>
      <c r="U149" s="5"/>
      <c r="V149" s="5"/>
      <c r="W149" s="5"/>
      <c r="X149" s="5"/>
      <c r="Y149" s="5"/>
    </row>
    <row r="150" ht="15.75" customHeight="1">
      <c r="A150" s="5"/>
      <c r="B150" s="5"/>
      <c r="C150" s="5"/>
      <c r="D150" s="5"/>
      <c r="E150" s="5"/>
      <c r="F150" s="5"/>
      <c r="G150" s="112"/>
      <c r="H150" s="112"/>
      <c r="I150" s="112"/>
      <c r="J150" s="112"/>
      <c r="K150" s="112"/>
      <c r="L150" s="5"/>
      <c r="M150" s="5"/>
      <c r="N150" s="5"/>
      <c r="O150" s="5"/>
      <c r="P150" s="5"/>
      <c r="Q150" s="5"/>
      <c r="R150" s="5"/>
      <c r="S150" s="5"/>
      <c r="T150" s="5"/>
      <c r="U150" s="5"/>
      <c r="V150" s="5"/>
      <c r="W150" s="5"/>
      <c r="X150" s="5"/>
      <c r="Y150" s="5"/>
    </row>
    <row r="151" ht="15.75" customHeight="1">
      <c r="A151" s="5"/>
      <c r="B151" s="5"/>
      <c r="C151" s="5"/>
      <c r="D151" s="5"/>
      <c r="E151" s="5"/>
      <c r="F151" s="5"/>
      <c r="G151" s="112"/>
      <c r="H151" s="112"/>
      <c r="I151" s="112"/>
      <c r="J151" s="112"/>
      <c r="K151" s="112"/>
      <c r="L151" s="5"/>
      <c r="M151" s="5"/>
      <c r="N151" s="5"/>
      <c r="O151" s="5"/>
      <c r="P151" s="5"/>
      <c r="Q151" s="5"/>
      <c r="R151" s="5"/>
      <c r="S151" s="5"/>
      <c r="T151" s="5"/>
      <c r="U151" s="5"/>
      <c r="V151" s="5"/>
      <c r="W151" s="5"/>
      <c r="X151" s="5"/>
      <c r="Y151" s="5"/>
    </row>
    <row r="152" ht="15.75" customHeight="1">
      <c r="A152" s="5"/>
      <c r="B152" s="5"/>
      <c r="C152" s="5"/>
      <c r="D152" s="5"/>
      <c r="E152" s="5"/>
      <c r="F152" s="5"/>
      <c r="G152" s="112"/>
      <c r="H152" s="112"/>
      <c r="I152" s="112"/>
      <c r="J152" s="112"/>
      <c r="K152" s="112"/>
      <c r="L152" s="5"/>
      <c r="M152" s="5"/>
      <c r="N152" s="5"/>
      <c r="O152" s="5"/>
      <c r="P152" s="5"/>
      <c r="Q152" s="5"/>
      <c r="R152" s="5"/>
      <c r="S152" s="5"/>
      <c r="T152" s="5"/>
      <c r="U152" s="5"/>
      <c r="V152" s="5"/>
      <c r="W152" s="5"/>
      <c r="X152" s="5"/>
      <c r="Y152" s="5"/>
    </row>
    <row r="153" ht="15.75" customHeight="1">
      <c r="A153" s="5"/>
      <c r="B153" s="5"/>
      <c r="C153" s="5"/>
      <c r="D153" s="5"/>
      <c r="E153" s="5"/>
      <c r="F153" s="5"/>
      <c r="G153" s="112"/>
      <c r="H153" s="112"/>
      <c r="I153" s="112"/>
      <c r="J153" s="112"/>
      <c r="K153" s="112"/>
      <c r="L153" s="5"/>
      <c r="M153" s="5"/>
      <c r="N153" s="5"/>
      <c r="O153" s="5"/>
      <c r="P153" s="5"/>
      <c r="Q153" s="5"/>
      <c r="R153" s="5"/>
      <c r="S153" s="5"/>
      <c r="T153" s="5"/>
      <c r="U153" s="5"/>
      <c r="V153" s="5"/>
      <c r="W153" s="5"/>
      <c r="X153" s="5"/>
      <c r="Y153" s="5"/>
    </row>
    <row r="154" ht="15.75" customHeight="1">
      <c r="A154" s="5"/>
      <c r="B154" s="5"/>
      <c r="C154" s="5"/>
      <c r="D154" s="5"/>
      <c r="E154" s="5"/>
      <c r="F154" s="5"/>
      <c r="G154" s="112"/>
      <c r="H154" s="112"/>
      <c r="I154" s="112"/>
      <c r="J154" s="112"/>
      <c r="K154" s="112"/>
      <c r="L154" s="5"/>
      <c r="M154" s="5"/>
      <c r="N154" s="5"/>
      <c r="O154" s="5"/>
      <c r="P154" s="5"/>
      <c r="Q154" s="5"/>
      <c r="R154" s="5"/>
      <c r="S154" s="5"/>
      <c r="T154" s="5"/>
      <c r="U154" s="5"/>
      <c r="V154" s="5"/>
      <c r="W154" s="5"/>
      <c r="X154" s="5"/>
      <c r="Y154" s="5"/>
    </row>
    <row r="155" ht="15.75" customHeight="1">
      <c r="A155" s="5"/>
      <c r="B155" s="5"/>
      <c r="C155" s="5"/>
      <c r="D155" s="5"/>
      <c r="E155" s="5"/>
      <c r="F155" s="5"/>
      <c r="G155" s="112"/>
      <c r="H155" s="112"/>
      <c r="I155" s="112"/>
      <c r="J155" s="112"/>
      <c r="K155" s="112"/>
      <c r="L155" s="5"/>
      <c r="M155" s="5"/>
      <c r="N155" s="5"/>
      <c r="O155" s="5"/>
      <c r="P155" s="5"/>
      <c r="Q155" s="5"/>
      <c r="R155" s="5"/>
      <c r="S155" s="5"/>
      <c r="T155" s="5"/>
      <c r="U155" s="5"/>
      <c r="V155" s="5"/>
      <c r="W155" s="5"/>
      <c r="X155" s="5"/>
      <c r="Y155" s="5"/>
    </row>
    <row r="156" ht="15.75" customHeight="1">
      <c r="A156" s="5"/>
      <c r="B156" s="5"/>
      <c r="C156" s="5"/>
      <c r="D156" s="5"/>
      <c r="E156" s="5"/>
      <c r="F156" s="5"/>
      <c r="G156" s="112"/>
      <c r="H156" s="112"/>
      <c r="I156" s="112"/>
      <c r="J156" s="112"/>
      <c r="K156" s="112"/>
      <c r="L156" s="5"/>
      <c r="M156" s="5"/>
      <c r="N156" s="5"/>
      <c r="O156" s="5"/>
      <c r="P156" s="5"/>
      <c r="Q156" s="5"/>
      <c r="R156" s="5"/>
      <c r="S156" s="5"/>
      <c r="T156" s="5"/>
      <c r="U156" s="5"/>
      <c r="V156" s="5"/>
      <c r="W156" s="5"/>
      <c r="X156" s="5"/>
      <c r="Y156" s="5"/>
    </row>
    <row r="157" ht="15.75" customHeight="1">
      <c r="A157" s="5"/>
      <c r="B157" s="5"/>
      <c r="C157" s="5"/>
      <c r="D157" s="5"/>
      <c r="E157" s="5"/>
      <c r="F157" s="5"/>
      <c r="G157" s="112"/>
      <c r="H157" s="112"/>
      <c r="I157" s="112"/>
      <c r="J157" s="112"/>
      <c r="K157" s="112"/>
      <c r="L157" s="5"/>
      <c r="M157" s="5"/>
      <c r="N157" s="5"/>
      <c r="O157" s="5"/>
      <c r="P157" s="5"/>
      <c r="Q157" s="5"/>
      <c r="R157" s="5"/>
      <c r="S157" s="5"/>
      <c r="T157" s="5"/>
      <c r="U157" s="5"/>
      <c r="V157" s="5"/>
      <c r="W157" s="5"/>
      <c r="X157" s="5"/>
      <c r="Y157" s="5"/>
    </row>
    <row r="158" ht="15.75" customHeight="1">
      <c r="A158" s="5"/>
      <c r="B158" s="5"/>
      <c r="C158" s="5"/>
      <c r="D158" s="5"/>
      <c r="E158" s="5"/>
      <c r="F158" s="5"/>
      <c r="G158" s="112"/>
      <c r="H158" s="112"/>
      <c r="I158" s="112"/>
      <c r="J158" s="112"/>
      <c r="K158" s="112"/>
      <c r="L158" s="5"/>
      <c r="M158" s="5"/>
      <c r="N158" s="5"/>
      <c r="O158" s="5"/>
      <c r="P158" s="5"/>
      <c r="Q158" s="5"/>
      <c r="R158" s="5"/>
      <c r="S158" s="5"/>
      <c r="T158" s="5"/>
      <c r="U158" s="5"/>
      <c r="V158" s="5"/>
      <c r="W158" s="5"/>
      <c r="X158" s="5"/>
      <c r="Y158" s="5"/>
    </row>
    <row r="159" ht="15.75" customHeight="1">
      <c r="A159" s="5"/>
      <c r="B159" s="5"/>
      <c r="C159" s="5"/>
      <c r="D159" s="5"/>
      <c r="E159" s="5"/>
      <c r="F159" s="5"/>
      <c r="G159" s="112"/>
      <c r="H159" s="112"/>
      <c r="I159" s="112"/>
      <c r="J159" s="112"/>
      <c r="K159" s="112"/>
      <c r="L159" s="5"/>
      <c r="M159" s="5"/>
      <c r="N159" s="5"/>
      <c r="O159" s="5"/>
      <c r="P159" s="5"/>
      <c r="Q159" s="5"/>
      <c r="R159" s="5"/>
      <c r="S159" s="5"/>
      <c r="T159" s="5"/>
      <c r="U159" s="5"/>
      <c r="V159" s="5"/>
      <c r="W159" s="5"/>
      <c r="X159" s="5"/>
      <c r="Y159" s="5"/>
    </row>
    <row r="160" ht="15.75" customHeight="1">
      <c r="A160" s="5"/>
      <c r="B160" s="5"/>
      <c r="C160" s="5"/>
      <c r="D160" s="5"/>
      <c r="E160" s="5"/>
      <c r="F160" s="5"/>
      <c r="G160" s="112"/>
      <c r="H160" s="112"/>
      <c r="I160" s="112"/>
      <c r="J160" s="112"/>
      <c r="K160" s="112"/>
      <c r="L160" s="5"/>
      <c r="M160" s="5"/>
      <c r="N160" s="5"/>
      <c r="O160" s="5"/>
      <c r="P160" s="5"/>
      <c r="Q160" s="5"/>
      <c r="R160" s="5"/>
      <c r="S160" s="5"/>
      <c r="T160" s="5"/>
      <c r="U160" s="5"/>
      <c r="V160" s="5"/>
      <c r="W160" s="5"/>
      <c r="X160" s="5"/>
      <c r="Y160" s="5"/>
    </row>
    <row r="161" ht="15.75" customHeight="1">
      <c r="A161" s="5"/>
      <c r="B161" s="5"/>
      <c r="C161" s="5"/>
      <c r="D161" s="5"/>
      <c r="E161" s="5"/>
      <c r="F161" s="5"/>
      <c r="G161" s="112"/>
      <c r="H161" s="112"/>
      <c r="I161" s="112"/>
      <c r="J161" s="112"/>
      <c r="K161" s="112"/>
      <c r="L161" s="5"/>
      <c r="M161" s="5"/>
      <c r="N161" s="5"/>
      <c r="O161" s="5"/>
      <c r="P161" s="5"/>
      <c r="Q161" s="5"/>
      <c r="R161" s="5"/>
      <c r="S161" s="5"/>
      <c r="T161" s="5"/>
      <c r="U161" s="5"/>
      <c r="V161" s="5"/>
      <c r="W161" s="5"/>
      <c r="X161" s="5"/>
      <c r="Y161" s="5"/>
    </row>
    <row r="162" ht="15.75" customHeight="1">
      <c r="A162" s="5"/>
      <c r="B162" s="5"/>
      <c r="C162" s="5"/>
      <c r="D162" s="5"/>
      <c r="E162" s="5"/>
      <c r="F162" s="5"/>
      <c r="G162" s="112"/>
      <c r="H162" s="112"/>
      <c r="I162" s="112"/>
      <c r="J162" s="112"/>
      <c r="K162" s="112"/>
      <c r="L162" s="5"/>
      <c r="M162" s="5"/>
      <c r="N162" s="5"/>
      <c r="O162" s="5"/>
      <c r="P162" s="5"/>
      <c r="Q162" s="5"/>
      <c r="R162" s="5"/>
      <c r="S162" s="5"/>
      <c r="T162" s="5"/>
      <c r="U162" s="5"/>
      <c r="V162" s="5"/>
      <c r="W162" s="5"/>
      <c r="X162" s="5"/>
      <c r="Y162" s="5"/>
    </row>
    <row r="163" ht="15.75" customHeight="1">
      <c r="A163" s="5"/>
      <c r="B163" s="5"/>
      <c r="C163" s="5"/>
      <c r="D163" s="5"/>
      <c r="E163" s="5"/>
      <c r="F163" s="5"/>
      <c r="G163" s="112"/>
      <c r="H163" s="112"/>
      <c r="I163" s="112"/>
      <c r="J163" s="112"/>
      <c r="K163" s="112"/>
      <c r="L163" s="5"/>
      <c r="M163" s="5"/>
      <c r="N163" s="5"/>
      <c r="O163" s="5"/>
      <c r="P163" s="5"/>
      <c r="Q163" s="5"/>
      <c r="R163" s="5"/>
      <c r="S163" s="5"/>
      <c r="T163" s="5"/>
      <c r="U163" s="5"/>
      <c r="V163" s="5"/>
      <c r="W163" s="5"/>
      <c r="X163" s="5"/>
      <c r="Y163" s="5"/>
    </row>
    <row r="164" ht="15.75" customHeight="1">
      <c r="A164" s="5"/>
      <c r="B164" s="5"/>
      <c r="C164" s="5"/>
      <c r="D164" s="5"/>
      <c r="E164" s="5"/>
      <c r="F164" s="5"/>
      <c r="G164" s="112"/>
      <c r="H164" s="112"/>
      <c r="I164" s="112"/>
      <c r="J164" s="112"/>
      <c r="K164" s="112"/>
      <c r="L164" s="5"/>
      <c r="M164" s="5"/>
      <c r="N164" s="5"/>
      <c r="O164" s="5"/>
      <c r="P164" s="5"/>
      <c r="Q164" s="5"/>
      <c r="R164" s="5"/>
      <c r="S164" s="5"/>
      <c r="T164" s="5"/>
      <c r="U164" s="5"/>
      <c r="V164" s="5"/>
      <c r="W164" s="5"/>
      <c r="X164" s="5"/>
      <c r="Y164" s="5"/>
    </row>
    <row r="165" ht="15.75" customHeight="1">
      <c r="A165" s="5"/>
      <c r="B165" s="5"/>
      <c r="C165" s="5"/>
      <c r="D165" s="5"/>
      <c r="E165" s="5"/>
      <c r="F165" s="5"/>
      <c r="G165" s="112"/>
      <c r="H165" s="112"/>
      <c r="I165" s="112"/>
      <c r="J165" s="112"/>
      <c r="K165" s="112"/>
      <c r="L165" s="5"/>
      <c r="M165" s="5"/>
      <c r="N165" s="5"/>
      <c r="O165" s="5"/>
      <c r="P165" s="5"/>
      <c r="Q165" s="5"/>
      <c r="R165" s="5"/>
      <c r="S165" s="5"/>
      <c r="T165" s="5"/>
      <c r="U165" s="5"/>
      <c r="V165" s="5"/>
      <c r="W165" s="5"/>
      <c r="X165" s="5"/>
      <c r="Y165" s="5"/>
    </row>
    <row r="166" ht="15.75" customHeight="1">
      <c r="A166" s="5"/>
      <c r="B166" s="5"/>
      <c r="C166" s="5"/>
      <c r="D166" s="5"/>
      <c r="E166" s="5"/>
      <c r="F166" s="5"/>
      <c r="G166" s="112"/>
      <c r="H166" s="112"/>
      <c r="I166" s="112"/>
      <c r="J166" s="112"/>
      <c r="K166" s="112"/>
      <c r="L166" s="5"/>
      <c r="M166" s="5"/>
      <c r="N166" s="5"/>
      <c r="O166" s="5"/>
      <c r="P166" s="5"/>
      <c r="Q166" s="5"/>
      <c r="R166" s="5"/>
      <c r="S166" s="5"/>
      <c r="T166" s="5"/>
      <c r="U166" s="5"/>
      <c r="V166" s="5"/>
      <c r="W166" s="5"/>
      <c r="X166" s="5"/>
      <c r="Y166" s="5"/>
    </row>
    <row r="167" ht="15.75" customHeight="1">
      <c r="A167" s="5"/>
      <c r="B167" s="5"/>
      <c r="C167" s="5"/>
      <c r="D167" s="5"/>
      <c r="E167" s="5"/>
      <c r="F167" s="5"/>
      <c r="G167" s="112"/>
      <c r="H167" s="112"/>
      <c r="I167" s="112"/>
      <c r="J167" s="112"/>
      <c r="K167" s="112"/>
      <c r="L167" s="5"/>
      <c r="M167" s="5"/>
      <c r="N167" s="5"/>
      <c r="O167" s="5"/>
      <c r="P167" s="5"/>
      <c r="Q167" s="5"/>
      <c r="R167" s="5"/>
      <c r="S167" s="5"/>
      <c r="T167" s="5"/>
      <c r="U167" s="5"/>
      <c r="V167" s="5"/>
      <c r="W167" s="5"/>
      <c r="X167" s="5"/>
      <c r="Y167" s="5"/>
    </row>
    <row r="168" ht="15.75" customHeight="1">
      <c r="A168" s="5"/>
      <c r="B168" s="5"/>
      <c r="C168" s="5"/>
      <c r="D168" s="5"/>
      <c r="E168" s="5"/>
      <c r="F168" s="5"/>
      <c r="G168" s="112"/>
      <c r="H168" s="112"/>
      <c r="I168" s="112"/>
      <c r="J168" s="112"/>
      <c r="K168" s="112"/>
      <c r="L168" s="5"/>
      <c r="M168" s="5"/>
      <c r="N168" s="5"/>
      <c r="O168" s="5"/>
      <c r="P168" s="5"/>
      <c r="Q168" s="5"/>
      <c r="R168" s="5"/>
      <c r="S168" s="5"/>
      <c r="T168" s="5"/>
      <c r="U168" s="5"/>
      <c r="V168" s="5"/>
      <c r="W168" s="5"/>
      <c r="X168" s="5"/>
      <c r="Y168" s="5"/>
    </row>
    <row r="169" ht="15.75" customHeight="1">
      <c r="A169" s="5"/>
      <c r="B169" s="5"/>
      <c r="C169" s="5"/>
      <c r="D169" s="5"/>
      <c r="E169" s="5"/>
      <c r="F169" s="5"/>
      <c r="G169" s="112"/>
      <c r="H169" s="112"/>
      <c r="I169" s="112"/>
      <c r="J169" s="112"/>
      <c r="K169" s="112"/>
      <c r="L169" s="5"/>
      <c r="M169" s="5"/>
      <c r="N169" s="5"/>
      <c r="O169" s="5"/>
      <c r="P169" s="5"/>
      <c r="Q169" s="5"/>
      <c r="R169" s="5"/>
      <c r="S169" s="5"/>
      <c r="T169" s="5"/>
      <c r="U169" s="5"/>
      <c r="V169" s="5"/>
      <c r="W169" s="5"/>
      <c r="X169" s="5"/>
      <c r="Y169" s="5"/>
    </row>
    <row r="170" ht="15.75" customHeight="1">
      <c r="A170" s="5"/>
      <c r="B170" s="5"/>
      <c r="C170" s="5"/>
      <c r="D170" s="5"/>
      <c r="E170" s="5"/>
      <c r="F170" s="5"/>
      <c r="G170" s="112"/>
      <c r="H170" s="112"/>
      <c r="I170" s="112"/>
      <c r="J170" s="112"/>
      <c r="K170" s="112"/>
      <c r="L170" s="5"/>
      <c r="M170" s="5"/>
      <c r="N170" s="5"/>
      <c r="O170" s="5"/>
      <c r="P170" s="5"/>
      <c r="Q170" s="5"/>
      <c r="R170" s="5"/>
      <c r="S170" s="5"/>
      <c r="T170" s="5"/>
      <c r="U170" s="5"/>
      <c r="V170" s="5"/>
      <c r="W170" s="5"/>
      <c r="X170" s="5"/>
      <c r="Y170" s="5"/>
    </row>
    <row r="171" ht="15.75" customHeight="1">
      <c r="A171" s="5"/>
      <c r="B171" s="5"/>
      <c r="C171" s="5"/>
      <c r="D171" s="5"/>
      <c r="E171" s="5"/>
      <c r="F171" s="5"/>
      <c r="G171" s="112"/>
      <c r="H171" s="112"/>
      <c r="I171" s="112"/>
      <c r="J171" s="112"/>
      <c r="K171" s="112"/>
      <c r="L171" s="5"/>
      <c r="M171" s="5"/>
      <c r="N171" s="5"/>
      <c r="O171" s="5"/>
      <c r="P171" s="5"/>
      <c r="Q171" s="5"/>
      <c r="R171" s="5"/>
      <c r="S171" s="5"/>
      <c r="T171" s="5"/>
      <c r="U171" s="5"/>
      <c r="V171" s="5"/>
      <c r="W171" s="5"/>
      <c r="X171" s="5"/>
      <c r="Y171" s="5"/>
    </row>
    <row r="172" ht="15.75" customHeight="1">
      <c r="A172" s="5"/>
      <c r="B172" s="5"/>
      <c r="C172" s="5"/>
      <c r="D172" s="5"/>
      <c r="E172" s="5"/>
      <c r="F172" s="5"/>
      <c r="G172" s="112"/>
      <c r="H172" s="112"/>
      <c r="I172" s="112"/>
      <c r="J172" s="112"/>
      <c r="K172" s="112"/>
      <c r="L172" s="5"/>
      <c r="M172" s="5"/>
      <c r="N172" s="5"/>
      <c r="O172" s="5"/>
      <c r="P172" s="5"/>
      <c r="Q172" s="5"/>
      <c r="R172" s="5"/>
      <c r="S172" s="5"/>
      <c r="T172" s="5"/>
      <c r="U172" s="5"/>
      <c r="V172" s="5"/>
      <c r="W172" s="5"/>
      <c r="X172" s="5"/>
      <c r="Y172" s="5"/>
    </row>
    <row r="173" ht="15.75" customHeight="1">
      <c r="A173" s="5"/>
      <c r="B173" s="5"/>
      <c r="C173" s="5"/>
      <c r="D173" s="5"/>
      <c r="E173" s="5"/>
      <c r="F173" s="5"/>
      <c r="G173" s="112"/>
      <c r="H173" s="112"/>
      <c r="I173" s="112"/>
      <c r="J173" s="112"/>
      <c r="K173" s="112"/>
      <c r="L173" s="5"/>
      <c r="M173" s="5"/>
      <c r="N173" s="5"/>
      <c r="O173" s="5"/>
      <c r="P173" s="5"/>
      <c r="Q173" s="5"/>
      <c r="R173" s="5"/>
      <c r="S173" s="5"/>
      <c r="T173" s="5"/>
      <c r="U173" s="5"/>
      <c r="V173" s="5"/>
      <c r="W173" s="5"/>
      <c r="X173" s="5"/>
      <c r="Y173" s="5"/>
    </row>
    <row r="174" ht="15.75" customHeight="1">
      <c r="A174" s="5"/>
      <c r="B174" s="5"/>
      <c r="C174" s="5"/>
      <c r="D174" s="5"/>
      <c r="E174" s="5"/>
      <c r="F174" s="5"/>
      <c r="G174" s="112"/>
      <c r="H174" s="112"/>
      <c r="I174" s="112"/>
      <c r="J174" s="112"/>
      <c r="K174" s="112"/>
      <c r="L174" s="5"/>
      <c r="M174" s="5"/>
      <c r="N174" s="5"/>
      <c r="O174" s="5"/>
      <c r="P174" s="5"/>
      <c r="Q174" s="5"/>
      <c r="R174" s="5"/>
      <c r="S174" s="5"/>
      <c r="T174" s="5"/>
      <c r="U174" s="5"/>
      <c r="V174" s="5"/>
      <c r="W174" s="5"/>
      <c r="X174" s="5"/>
      <c r="Y174" s="5"/>
    </row>
    <row r="175" ht="15.75" customHeight="1">
      <c r="A175" s="5"/>
      <c r="B175" s="5"/>
      <c r="C175" s="5"/>
      <c r="D175" s="5"/>
      <c r="E175" s="5"/>
      <c r="F175" s="5"/>
      <c r="G175" s="112"/>
      <c r="H175" s="112"/>
      <c r="I175" s="112"/>
      <c r="J175" s="112"/>
      <c r="K175" s="112"/>
      <c r="L175" s="5"/>
      <c r="M175" s="5"/>
      <c r="N175" s="5"/>
      <c r="O175" s="5"/>
      <c r="P175" s="5"/>
      <c r="Q175" s="5"/>
      <c r="R175" s="5"/>
      <c r="S175" s="5"/>
      <c r="T175" s="5"/>
      <c r="U175" s="5"/>
      <c r="V175" s="5"/>
      <c r="W175" s="5"/>
      <c r="X175" s="5"/>
      <c r="Y175" s="5"/>
    </row>
    <row r="176" ht="15.75" customHeight="1">
      <c r="A176" s="5"/>
      <c r="B176" s="5"/>
      <c r="C176" s="5"/>
      <c r="D176" s="5"/>
      <c r="E176" s="5"/>
      <c r="F176" s="5"/>
      <c r="G176" s="112"/>
      <c r="H176" s="112"/>
      <c r="I176" s="112"/>
      <c r="J176" s="112"/>
      <c r="K176" s="112"/>
      <c r="L176" s="5"/>
      <c r="M176" s="5"/>
      <c r="N176" s="5"/>
      <c r="O176" s="5"/>
      <c r="P176" s="5"/>
      <c r="Q176" s="5"/>
      <c r="R176" s="5"/>
      <c r="S176" s="5"/>
      <c r="T176" s="5"/>
      <c r="U176" s="5"/>
      <c r="V176" s="5"/>
      <c r="W176" s="5"/>
      <c r="X176" s="5"/>
      <c r="Y176" s="5"/>
    </row>
    <row r="177" ht="15.75" customHeight="1">
      <c r="A177" s="5"/>
      <c r="B177" s="5"/>
      <c r="C177" s="5"/>
      <c r="D177" s="5"/>
      <c r="E177" s="5"/>
      <c r="F177" s="5"/>
      <c r="G177" s="112"/>
      <c r="H177" s="112"/>
      <c r="I177" s="112"/>
      <c r="J177" s="112"/>
      <c r="K177" s="112"/>
      <c r="L177" s="5"/>
      <c r="M177" s="5"/>
      <c r="N177" s="5"/>
      <c r="O177" s="5"/>
      <c r="P177" s="5"/>
      <c r="Q177" s="5"/>
      <c r="R177" s="5"/>
      <c r="S177" s="5"/>
      <c r="T177" s="5"/>
      <c r="U177" s="5"/>
      <c r="V177" s="5"/>
      <c r="W177" s="5"/>
      <c r="X177" s="5"/>
      <c r="Y177" s="5"/>
    </row>
    <row r="178" ht="15.75" customHeight="1">
      <c r="A178" s="5"/>
      <c r="B178" s="5"/>
      <c r="C178" s="5"/>
      <c r="D178" s="5"/>
      <c r="E178" s="5"/>
      <c r="F178" s="5"/>
      <c r="G178" s="112"/>
      <c r="H178" s="112"/>
      <c r="I178" s="112"/>
      <c r="J178" s="112"/>
      <c r="K178" s="112"/>
      <c r="L178" s="5"/>
      <c r="M178" s="5"/>
      <c r="N178" s="5"/>
      <c r="O178" s="5"/>
      <c r="P178" s="5"/>
      <c r="Q178" s="5"/>
      <c r="R178" s="5"/>
      <c r="S178" s="5"/>
      <c r="T178" s="5"/>
      <c r="U178" s="5"/>
      <c r="V178" s="5"/>
      <c r="W178" s="5"/>
      <c r="X178" s="5"/>
      <c r="Y178" s="5"/>
    </row>
    <row r="179" ht="15.75" customHeight="1">
      <c r="A179" s="5"/>
      <c r="B179" s="5"/>
      <c r="C179" s="5"/>
      <c r="D179" s="5"/>
      <c r="E179" s="5"/>
      <c r="F179" s="5"/>
      <c r="G179" s="112"/>
      <c r="H179" s="112"/>
      <c r="I179" s="112"/>
      <c r="J179" s="112"/>
      <c r="K179" s="112"/>
      <c r="L179" s="5"/>
      <c r="M179" s="5"/>
      <c r="N179" s="5"/>
      <c r="O179" s="5"/>
      <c r="P179" s="5"/>
      <c r="Q179" s="5"/>
      <c r="R179" s="5"/>
      <c r="S179" s="5"/>
      <c r="T179" s="5"/>
      <c r="U179" s="5"/>
      <c r="V179" s="5"/>
      <c r="W179" s="5"/>
      <c r="X179" s="5"/>
      <c r="Y179" s="5"/>
    </row>
    <row r="180" ht="15.75" customHeight="1">
      <c r="A180" s="5"/>
      <c r="B180" s="5"/>
      <c r="C180" s="5"/>
      <c r="D180" s="5"/>
      <c r="E180" s="5"/>
      <c r="F180" s="5"/>
      <c r="G180" s="112"/>
      <c r="H180" s="112"/>
      <c r="I180" s="112"/>
      <c r="J180" s="112"/>
      <c r="K180" s="112"/>
      <c r="L180" s="5"/>
      <c r="M180" s="5"/>
      <c r="N180" s="5"/>
      <c r="O180" s="5"/>
      <c r="P180" s="5"/>
      <c r="Q180" s="5"/>
      <c r="R180" s="5"/>
      <c r="S180" s="5"/>
      <c r="T180" s="5"/>
      <c r="U180" s="5"/>
      <c r="V180" s="5"/>
      <c r="W180" s="5"/>
      <c r="X180" s="5"/>
      <c r="Y180" s="5"/>
    </row>
    <row r="181" ht="15.75" customHeight="1">
      <c r="A181" s="5"/>
      <c r="B181" s="5"/>
      <c r="C181" s="5"/>
      <c r="D181" s="5"/>
      <c r="E181" s="5"/>
      <c r="F181" s="5"/>
      <c r="G181" s="112"/>
      <c r="H181" s="112"/>
      <c r="I181" s="112"/>
      <c r="J181" s="112"/>
      <c r="K181" s="112"/>
      <c r="L181" s="5"/>
      <c r="M181" s="5"/>
      <c r="N181" s="5"/>
      <c r="O181" s="5"/>
      <c r="P181" s="5"/>
      <c r="Q181" s="5"/>
      <c r="R181" s="5"/>
      <c r="S181" s="5"/>
      <c r="T181" s="5"/>
      <c r="U181" s="5"/>
      <c r="V181" s="5"/>
      <c r="W181" s="5"/>
      <c r="X181" s="5"/>
      <c r="Y181" s="5"/>
    </row>
    <row r="182" ht="15.75" customHeight="1">
      <c r="A182" s="5"/>
      <c r="B182" s="5"/>
      <c r="C182" s="5"/>
      <c r="D182" s="5"/>
      <c r="E182" s="5"/>
      <c r="F182" s="5"/>
      <c r="G182" s="112"/>
      <c r="H182" s="112"/>
      <c r="I182" s="112"/>
      <c r="J182" s="112"/>
      <c r="K182" s="112"/>
      <c r="L182" s="5"/>
      <c r="M182" s="5"/>
      <c r="N182" s="5"/>
      <c r="O182" s="5"/>
      <c r="P182" s="5"/>
      <c r="Q182" s="5"/>
      <c r="R182" s="5"/>
      <c r="S182" s="5"/>
      <c r="T182" s="5"/>
      <c r="U182" s="5"/>
      <c r="V182" s="5"/>
      <c r="W182" s="5"/>
      <c r="X182" s="5"/>
      <c r="Y182" s="5"/>
    </row>
    <row r="183" ht="15.75" customHeight="1">
      <c r="A183" s="5"/>
      <c r="B183" s="5"/>
      <c r="C183" s="5"/>
      <c r="D183" s="5"/>
      <c r="E183" s="5"/>
      <c r="F183" s="5"/>
      <c r="G183" s="112"/>
      <c r="H183" s="112"/>
      <c r="I183" s="112"/>
      <c r="J183" s="112"/>
      <c r="K183" s="112"/>
      <c r="L183" s="5"/>
      <c r="M183" s="5"/>
      <c r="N183" s="5"/>
      <c r="O183" s="5"/>
      <c r="P183" s="5"/>
      <c r="Q183" s="5"/>
      <c r="R183" s="5"/>
      <c r="S183" s="5"/>
      <c r="T183" s="5"/>
      <c r="U183" s="5"/>
      <c r="V183" s="5"/>
      <c r="W183" s="5"/>
      <c r="X183" s="5"/>
      <c r="Y183" s="5"/>
    </row>
    <row r="184" ht="15.75" customHeight="1">
      <c r="A184" s="5"/>
      <c r="B184" s="5"/>
      <c r="C184" s="5"/>
      <c r="D184" s="5"/>
      <c r="E184" s="5"/>
      <c r="F184" s="5"/>
      <c r="G184" s="112"/>
      <c r="H184" s="112"/>
      <c r="I184" s="112"/>
      <c r="J184" s="112"/>
      <c r="K184" s="112"/>
      <c r="L184" s="5"/>
      <c r="M184" s="5"/>
      <c r="N184" s="5"/>
      <c r="O184" s="5"/>
      <c r="P184" s="5"/>
      <c r="Q184" s="5"/>
      <c r="R184" s="5"/>
      <c r="S184" s="5"/>
      <c r="T184" s="5"/>
      <c r="U184" s="5"/>
      <c r="V184" s="5"/>
      <c r="W184" s="5"/>
      <c r="X184" s="5"/>
      <c r="Y184" s="5"/>
    </row>
    <row r="185" ht="15.75" customHeight="1">
      <c r="A185" s="5"/>
      <c r="B185" s="5"/>
      <c r="C185" s="5"/>
      <c r="D185" s="5"/>
      <c r="E185" s="5"/>
      <c r="F185" s="5"/>
      <c r="G185" s="112"/>
      <c r="H185" s="112"/>
      <c r="I185" s="112"/>
      <c r="J185" s="112"/>
      <c r="K185" s="112"/>
      <c r="L185" s="5"/>
      <c r="M185" s="5"/>
      <c r="N185" s="5"/>
      <c r="O185" s="5"/>
      <c r="P185" s="5"/>
      <c r="Q185" s="5"/>
      <c r="R185" s="5"/>
      <c r="S185" s="5"/>
      <c r="T185" s="5"/>
      <c r="U185" s="5"/>
      <c r="V185" s="5"/>
      <c r="W185" s="5"/>
      <c r="X185" s="5"/>
      <c r="Y185" s="5"/>
    </row>
    <row r="186" ht="15.75" customHeight="1">
      <c r="A186" s="5"/>
      <c r="B186" s="5"/>
      <c r="C186" s="5"/>
      <c r="D186" s="5"/>
      <c r="E186" s="5"/>
      <c r="F186" s="5"/>
      <c r="G186" s="112"/>
      <c r="H186" s="112"/>
      <c r="I186" s="112"/>
      <c r="J186" s="112"/>
      <c r="K186" s="112"/>
      <c r="L186" s="5"/>
      <c r="M186" s="5"/>
      <c r="N186" s="5"/>
      <c r="O186" s="5"/>
      <c r="P186" s="5"/>
      <c r="Q186" s="5"/>
      <c r="R186" s="5"/>
      <c r="S186" s="5"/>
      <c r="T186" s="5"/>
      <c r="U186" s="5"/>
      <c r="V186" s="5"/>
      <c r="W186" s="5"/>
      <c r="X186" s="5"/>
      <c r="Y186" s="5"/>
    </row>
    <row r="187" ht="15.75" customHeight="1">
      <c r="A187" s="5"/>
      <c r="B187" s="5"/>
      <c r="C187" s="5"/>
      <c r="D187" s="5"/>
      <c r="E187" s="5"/>
      <c r="F187" s="5"/>
      <c r="G187" s="112"/>
      <c r="H187" s="112"/>
      <c r="I187" s="112"/>
      <c r="J187" s="112"/>
      <c r="K187" s="112"/>
      <c r="L187" s="5"/>
      <c r="M187" s="5"/>
      <c r="N187" s="5"/>
      <c r="O187" s="5"/>
      <c r="P187" s="5"/>
      <c r="Q187" s="5"/>
      <c r="R187" s="5"/>
      <c r="S187" s="5"/>
      <c r="T187" s="5"/>
      <c r="U187" s="5"/>
      <c r="V187" s="5"/>
      <c r="W187" s="5"/>
      <c r="X187" s="5"/>
      <c r="Y187" s="5"/>
    </row>
    <row r="188" ht="15.75" customHeight="1">
      <c r="A188" s="5"/>
      <c r="B188" s="5"/>
      <c r="C188" s="5"/>
      <c r="D188" s="5"/>
      <c r="E188" s="5"/>
      <c r="F188" s="5"/>
      <c r="G188" s="112"/>
      <c r="H188" s="112"/>
      <c r="I188" s="112"/>
      <c r="J188" s="112"/>
      <c r="K188" s="112"/>
      <c r="L188" s="5"/>
      <c r="M188" s="5"/>
      <c r="N188" s="5"/>
      <c r="O188" s="5"/>
      <c r="P188" s="5"/>
      <c r="Q188" s="5"/>
      <c r="R188" s="5"/>
      <c r="S188" s="5"/>
      <c r="T188" s="5"/>
      <c r="U188" s="5"/>
      <c r="V188" s="5"/>
      <c r="W188" s="5"/>
      <c r="X188" s="5"/>
      <c r="Y188" s="5"/>
    </row>
    <row r="189" ht="15.75" customHeight="1">
      <c r="A189" s="5"/>
      <c r="B189" s="5"/>
      <c r="C189" s="5"/>
      <c r="D189" s="5"/>
      <c r="E189" s="5"/>
      <c r="F189" s="5"/>
      <c r="G189" s="112"/>
      <c r="H189" s="112"/>
      <c r="I189" s="112"/>
      <c r="J189" s="112"/>
      <c r="K189" s="112"/>
      <c r="L189" s="5"/>
      <c r="M189" s="5"/>
      <c r="N189" s="5"/>
      <c r="O189" s="5"/>
      <c r="P189" s="5"/>
      <c r="Q189" s="5"/>
      <c r="R189" s="5"/>
      <c r="S189" s="5"/>
      <c r="T189" s="5"/>
      <c r="U189" s="5"/>
      <c r="V189" s="5"/>
      <c r="W189" s="5"/>
      <c r="X189" s="5"/>
      <c r="Y189" s="5"/>
    </row>
    <row r="190" ht="15.75" customHeight="1">
      <c r="A190" s="5"/>
      <c r="B190" s="5"/>
      <c r="C190" s="5"/>
      <c r="D190" s="5"/>
      <c r="E190" s="5"/>
      <c r="F190" s="5"/>
      <c r="G190" s="112"/>
      <c r="H190" s="112"/>
      <c r="I190" s="112"/>
      <c r="J190" s="112"/>
      <c r="K190" s="112"/>
      <c r="L190" s="5"/>
      <c r="M190" s="5"/>
      <c r="N190" s="5"/>
      <c r="O190" s="5"/>
      <c r="P190" s="5"/>
      <c r="Q190" s="5"/>
      <c r="R190" s="5"/>
      <c r="S190" s="5"/>
      <c r="T190" s="5"/>
      <c r="U190" s="5"/>
      <c r="V190" s="5"/>
      <c r="W190" s="5"/>
      <c r="X190" s="5"/>
      <c r="Y190" s="5"/>
    </row>
    <row r="191" ht="15.75" customHeight="1">
      <c r="A191" s="5"/>
      <c r="B191" s="5"/>
      <c r="C191" s="5"/>
      <c r="D191" s="5"/>
      <c r="E191" s="5"/>
      <c r="F191" s="5"/>
      <c r="G191" s="112"/>
      <c r="H191" s="112"/>
      <c r="I191" s="112"/>
      <c r="J191" s="112"/>
      <c r="K191" s="112"/>
      <c r="L191" s="5"/>
      <c r="M191" s="5"/>
      <c r="N191" s="5"/>
      <c r="O191" s="5"/>
      <c r="P191" s="5"/>
      <c r="Q191" s="5"/>
      <c r="R191" s="5"/>
      <c r="S191" s="5"/>
      <c r="T191" s="5"/>
      <c r="U191" s="5"/>
      <c r="V191" s="5"/>
      <c r="W191" s="5"/>
      <c r="X191" s="5"/>
      <c r="Y191" s="5"/>
    </row>
    <row r="192" ht="15.75" customHeight="1">
      <c r="A192" s="5"/>
      <c r="B192" s="5"/>
      <c r="C192" s="5"/>
      <c r="D192" s="5"/>
      <c r="E192" s="5"/>
      <c r="F192" s="5"/>
      <c r="G192" s="112"/>
      <c r="H192" s="112"/>
      <c r="I192" s="112"/>
      <c r="J192" s="112"/>
      <c r="K192" s="112"/>
      <c r="L192" s="5"/>
      <c r="M192" s="5"/>
      <c r="N192" s="5"/>
      <c r="O192" s="5"/>
      <c r="P192" s="5"/>
      <c r="Q192" s="5"/>
      <c r="R192" s="5"/>
      <c r="S192" s="5"/>
      <c r="T192" s="5"/>
      <c r="U192" s="5"/>
      <c r="V192" s="5"/>
      <c r="W192" s="5"/>
      <c r="X192" s="5"/>
      <c r="Y192" s="5"/>
    </row>
    <row r="193" ht="15.75" customHeight="1">
      <c r="A193" s="5"/>
      <c r="B193" s="5"/>
      <c r="C193" s="5"/>
      <c r="D193" s="5"/>
      <c r="E193" s="5"/>
      <c r="F193" s="5"/>
      <c r="G193" s="112"/>
      <c r="H193" s="112"/>
      <c r="I193" s="112"/>
      <c r="J193" s="112"/>
      <c r="K193" s="112"/>
      <c r="L193" s="5"/>
      <c r="M193" s="5"/>
      <c r="N193" s="5"/>
      <c r="O193" s="5"/>
      <c r="P193" s="5"/>
      <c r="Q193" s="5"/>
      <c r="R193" s="5"/>
      <c r="S193" s="5"/>
      <c r="T193" s="5"/>
      <c r="U193" s="5"/>
      <c r="V193" s="5"/>
      <c r="W193" s="5"/>
      <c r="X193" s="5"/>
      <c r="Y193" s="5"/>
    </row>
    <row r="194" ht="15.75" customHeight="1">
      <c r="A194" s="5"/>
      <c r="B194" s="5"/>
      <c r="C194" s="5"/>
      <c r="D194" s="5"/>
      <c r="E194" s="5"/>
      <c r="F194" s="5"/>
      <c r="G194" s="112"/>
      <c r="H194" s="112"/>
      <c r="I194" s="112"/>
      <c r="J194" s="112"/>
      <c r="K194" s="112"/>
      <c r="L194" s="5"/>
      <c r="M194" s="5"/>
      <c r="N194" s="5"/>
      <c r="O194" s="5"/>
      <c r="P194" s="5"/>
      <c r="Q194" s="5"/>
      <c r="R194" s="5"/>
      <c r="S194" s="5"/>
      <c r="T194" s="5"/>
      <c r="U194" s="5"/>
      <c r="V194" s="5"/>
      <c r="W194" s="5"/>
      <c r="X194" s="5"/>
      <c r="Y194" s="5"/>
    </row>
    <row r="195" ht="15.75" customHeight="1">
      <c r="A195" s="5"/>
      <c r="B195" s="5"/>
      <c r="C195" s="5"/>
      <c r="D195" s="5"/>
      <c r="E195" s="5"/>
      <c r="F195" s="5"/>
      <c r="G195" s="112"/>
      <c r="H195" s="112"/>
      <c r="I195" s="112"/>
      <c r="J195" s="112"/>
      <c r="K195" s="112"/>
      <c r="L195" s="5"/>
      <c r="M195" s="5"/>
      <c r="N195" s="5"/>
      <c r="O195" s="5"/>
      <c r="P195" s="5"/>
      <c r="Q195" s="5"/>
      <c r="R195" s="5"/>
      <c r="S195" s="5"/>
      <c r="T195" s="5"/>
      <c r="U195" s="5"/>
      <c r="V195" s="5"/>
      <c r="W195" s="5"/>
      <c r="X195" s="5"/>
      <c r="Y195" s="5"/>
    </row>
    <row r="196" ht="15.75" customHeight="1">
      <c r="A196" s="5"/>
      <c r="B196" s="5"/>
      <c r="C196" s="5"/>
      <c r="D196" s="5"/>
      <c r="E196" s="5"/>
      <c r="F196" s="5"/>
      <c r="G196" s="112"/>
      <c r="H196" s="112"/>
      <c r="I196" s="112"/>
      <c r="J196" s="112"/>
      <c r="K196" s="112"/>
      <c r="L196" s="5"/>
      <c r="M196" s="5"/>
      <c r="N196" s="5"/>
      <c r="O196" s="5"/>
      <c r="P196" s="5"/>
      <c r="Q196" s="5"/>
      <c r="R196" s="5"/>
      <c r="S196" s="5"/>
      <c r="T196" s="5"/>
      <c r="U196" s="5"/>
      <c r="V196" s="5"/>
      <c r="W196" s="5"/>
      <c r="X196" s="5"/>
      <c r="Y196" s="5"/>
    </row>
    <row r="197" ht="15.75" customHeight="1">
      <c r="A197" s="5"/>
      <c r="B197" s="5"/>
      <c r="C197" s="5"/>
      <c r="D197" s="5"/>
      <c r="E197" s="5"/>
      <c r="F197" s="5"/>
      <c r="G197" s="112"/>
      <c r="H197" s="112"/>
      <c r="I197" s="112"/>
      <c r="J197" s="112"/>
      <c r="K197" s="112"/>
      <c r="L197" s="5"/>
      <c r="M197" s="5"/>
      <c r="N197" s="5"/>
      <c r="O197" s="5"/>
      <c r="P197" s="5"/>
      <c r="Q197" s="5"/>
      <c r="R197" s="5"/>
      <c r="S197" s="5"/>
      <c r="T197" s="5"/>
      <c r="U197" s="5"/>
      <c r="V197" s="5"/>
      <c r="W197" s="5"/>
      <c r="X197" s="5"/>
      <c r="Y197" s="5"/>
    </row>
    <row r="198" ht="15.75" customHeight="1">
      <c r="A198" s="5"/>
      <c r="B198" s="5"/>
      <c r="C198" s="5"/>
      <c r="D198" s="5"/>
      <c r="E198" s="5"/>
      <c r="F198" s="5"/>
      <c r="G198" s="112"/>
      <c r="H198" s="112"/>
      <c r="I198" s="112"/>
      <c r="J198" s="112"/>
      <c r="K198" s="112"/>
      <c r="L198" s="5"/>
      <c r="M198" s="5"/>
      <c r="N198" s="5"/>
      <c r="O198" s="5"/>
      <c r="P198" s="5"/>
      <c r="Q198" s="5"/>
      <c r="R198" s="5"/>
      <c r="S198" s="5"/>
      <c r="T198" s="5"/>
      <c r="U198" s="5"/>
      <c r="V198" s="5"/>
      <c r="W198" s="5"/>
      <c r="X198" s="5"/>
      <c r="Y198" s="5"/>
    </row>
    <row r="199" ht="15.75" customHeight="1">
      <c r="A199" s="5"/>
      <c r="B199" s="5"/>
      <c r="C199" s="5"/>
      <c r="D199" s="5"/>
      <c r="E199" s="5"/>
      <c r="F199" s="5"/>
      <c r="G199" s="112"/>
      <c r="H199" s="112"/>
      <c r="I199" s="112"/>
      <c r="J199" s="112"/>
      <c r="K199" s="112"/>
      <c r="L199" s="5"/>
      <c r="M199" s="5"/>
      <c r="N199" s="5"/>
      <c r="O199" s="5"/>
      <c r="P199" s="5"/>
      <c r="Q199" s="5"/>
      <c r="R199" s="5"/>
      <c r="S199" s="5"/>
      <c r="T199" s="5"/>
      <c r="U199" s="5"/>
      <c r="V199" s="5"/>
      <c r="W199" s="5"/>
      <c r="X199" s="5"/>
      <c r="Y199" s="5"/>
    </row>
    <row r="200" ht="15.75" customHeight="1">
      <c r="A200" s="5"/>
      <c r="B200" s="5"/>
      <c r="C200" s="5"/>
      <c r="D200" s="5"/>
      <c r="E200" s="5"/>
      <c r="F200" s="5"/>
      <c r="G200" s="112"/>
      <c r="H200" s="112"/>
      <c r="I200" s="112"/>
      <c r="J200" s="112"/>
      <c r="K200" s="112"/>
      <c r="L200" s="5"/>
      <c r="M200" s="5"/>
      <c r="N200" s="5"/>
      <c r="O200" s="5"/>
      <c r="P200" s="5"/>
      <c r="Q200" s="5"/>
      <c r="R200" s="5"/>
      <c r="S200" s="5"/>
      <c r="T200" s="5"/>
      <c r="U200" s="5"/>
      <c r="V200" s="5"/>
      <c r="W200" s="5"/>
      <c r="X200" s="5"/>
      <c r="Y200" s="5"/>
    </row>
    <row r="201" ht="15.75" customHeight="1">
      <c r="A201" s="5"/>
      <c r="B201" s="5"/>
      <c r="C201" s="5"/>
      <c r="D201" s="5"/>
      <c r="E201" s="5"/>
      <c r="F201" s="5"/>
      <c r="G201" s="112"/>
      <c r="H201" s="112"/>
      <c r="I201" s="112"/>
      <c r="J201" s="112"/>
      <c r="K201" s="112"/>
      <c r="L201" s="5"/>
      <c r="M201" s="5"/>
      <c r="N201" s="5"/>
      <c r="O201" s="5"/>
      <c r="P201" s="5"/>
      <c r="Q201" s="5"/>
      <c r="R201" s="5"/>
      <c r="S201" s="5"/>
      <c r="T201" s="5"/>
      <c r="U201" s="5"/>
      <c r="V201" s="5"/>
      <c r="W201" s="5"/>
      <c r="X201" s="5"/>
      <c r="Y201" s="5"/>
    </row>
    <row r="202" ht="15.75" customHeight="1">
      <c r="A202" s="5"/>
      <c r="B202" s="5"/>
      <c r="C202" s="5"/>
      <c r="D202" s="5"/>
      <c r="E202" s="5"/>
      <c r="F202" s="5"/>
      <c r="G202" s="112"/>
      <c r="H202" s="112"/>
      <c r="I202" s="112"/>
      <c r="J202" s="112"/>
      <c r="K202" s="112"/>
      <c r="L202" s="5"/>
      <c r="M202" s="5"/>
      <c r="N202" s="5"/>
      <c r="O202" s="5"/>
      <c r="P202" s="5"/>
      <c r="Q202" s="5"/>
      <c r="R202" s="5"/>
      <c r="S202" s="5"/>
      <c r="T202" s="5"/>
      <c r="U202" s="5"/>
      <c r="V202" s="5"/>
      <c r="W202" s="5"/>
      <c r="X202" s="5"/>
      <c r="Y202" s="5"/>
    </row>
    <row r="203" ht="15.75" customHeight="1">
      <c r="A203" s="5"/>
      <c r="B203" s="5"/>
      <c r="C203" s="5"/>
      <c r="D203" s="5"/>
      <c r="E203" s="5"/>
      <c r="F203" s="5"/>
      <c r="G203" s="112"/>
      <c r="H203" s="112"/>
      <c r="I203" s="112"/>
      <c r="J203" s="112"/>
      <c r="K203" s="112"/>
      <c r="L203" s="5"/>
      <c r="M203" s="5"/>
      <c r="N203" s="5"/>
      <c r="O203" s="5"/>
      <c r="P203" s="5"/>
      <c r="Q203" s="5"/>
      <c r="R203" s="5"/>
      <c r="S203" s="5"/>
      <c r="T203" s="5"/>
      <c r="U203" s="5"/>
      <c r="V203" s="5"/>
      <c r="W203" s="5"/>
      <c r="X203" s="5"/>
      <c r="Y203" s="5"/>
    </row>
    <row r="204" ht="15.75" customHeight="1">
      <c r="A204" s="5"/>
      <c r="B204" s="5"/>
      <c r="C204" s="5"/>
      <c r="D204" s="5"/>
      <c r="E204" s="5"/>
      <c r="F204" s="5"/>
      <c r="G204" s="112"/>
      <c r="H204" s="112"/>
      <c r="I204" s="112"/>
      <c r="J204" s="112"/>
      <c r="K204" s="112"/>
      <c r="L204" s="5"/>
      <c r="M204" s="5"/>
      <c r="N204" s="5"/>
      <c r="O204" s="5"/>
      <c r="P204" s="5"/>
      <c r="Q204" s="5"/>
      <c r="R204" s="5"/>
      <c r="S204" s="5"/>
      <c r="T204" s="5"/>
      <c r="U204" s="5"/>
      <c r="V204" s="5"/>
      <c r="W204" s="5"/>
      <c r="X204" s="5"/>
      <c r="Y204" s="5"/>
    </row>
    <row r="205" ht="15.75" customHeight="1">
      <c r="A205" s="5"/>
      <c r="B205" s="5"/>
      <c r="C205" s="5"/>
      <c r="D205" s="5"/>
      <c r="E205" s="5"/>
      <c r="F205" s="5"/>
      <c r="G205" s="112"/>
      <c r="H205" s="112"/>
      <c r="I205" s="112"/>
      <c r="J205" s="112"/>
      <c r="K205" s="112"/>
      <c r="L205" s="5"/>
      <c r="M205" s="5"/>
      <c r="N205" s="5"/>
      <c r="O205" s="5"/>
      <c r="P205" s="5"/>
      <c r="Q205" s="5"/>
      <c r="R205" s="5"/>
      <c r="S205" s="5"/>
      <c r="T205" s="5"/>
      <c r="U205" s="5"/>
      <c r="V205" s="5"/>
      <c r="W205" s="5"/>
      <c r="X205" s="5"/>
      <c r="Y205" s="5"/>
    </row>
    <row r="206" ht="15.75" customHeight="1">
      <c r="A206" s="5"/>
      <c r="B206" s="5"/>
      <c r="C206" s="5"/>
      <c r="D206" s="5"/>
      <c r="E206" s="5"/>
      <c r="F206" s="5"/>
      <c r="G206" s="112"/>
      <c r="H206" s="112"/>
      <c r="I206" s="112"/>
      <c r="J206" s="112"/>
      <c r="K206" s="112"/>
      <c r="L206" s="5"/>
      <c r="M206" s="5"/>
      <c r="N206" s="5"/>
      <c r="O206" s="5"/>
      <c r="P206" s="5"/>
      <c r="Q206" s="5"/>
      <c r="R206" s="5"/>
      <c r="S206" s="5"/>
      <c r="T206" s="5"/>
      <c r="U206" s="5"/>
      <c r="V206" s="5"/>
      <c r="W206" s="5"/>
      <c r="X206" s="5"/>
      <c r="Y206" s="5"/>
    </row>
    <row r="207" ht="15.75" customHeight="1">
      <c r="A207" s="5"/>
      <c r="B207" s="5"/>
      <c r="C207" s="5"/>
      <c r="D207" s="5"/>
      <c r="E207" s="5"/>
      <c r="F207" s="5"/>
      <c r="G207" s="112"/>
      <c r="H207" s="112"/>
      <c r="I207" s="112"/>
      <c r="J207" s="112"/>
      <c r="K207" s="112"/>
      <c r="L207" s="5"/>
      <c r="M207" s="5"/>
      <c r="N207" s="5"/>
      <c r="O207" s="5"/>
      <c r="P207" s="5"/>
      <c r="Q207" s="5"/>
      <c r="R207" s="5"/>
      <c r="S207" s="5"/>
      <c r="T207" s="5"/>
      <c r="U207" s="5"/>
      <c r="V207" s="5"/>
      <c r="W207" s="5"/>
      <c r="X207" s="5"/>
      <c r="Y207" s="5"/>
    </row>
    <row r="208" ht="15.75" customHeight="1">
      <c r="A208" s="5"/>
      <c r="B208" s="5"/>
      <c r="C208" s="5"/>
      <c r="D208" s="5"/>
      <c r="E208" s="5"/>
      <c r="F208" s="5"/>
      <c r="G208" s="112"/>
      <c r="H208" s="112"/>
      <c r="I208" s="112"/>
      <c r="J208" s="112"/>
      <c r="K208" s="112"/>
      <c r="L208" s="5"/>
      <c r="M208" s="5"/>
      <c r="N208" s="5"/>
      <c r="O208" s="5"/>
      <c r="P208" s="5"/>
      <c r="Q208" s="5"/>
      <c r="R208" s="5"/>
      <c r="S208" s="5"/>
      <c r="T208" s="5"/>
      <c r="U208" s="5"/>
      <c r="V208" s="5"/>
      <c r="W208" s="5"/>
      <c r="X208" s="5"/>
      <c r="Y208" s="5"/>
    </row>
    <row r="209" ht="15.75" customHeight="1">
      <c r="A209" s="5"/>
      <c r="B209" s="5"/>
      <c r="C209" s="5"/>
      <c r="D209" s="5"/>
      <c r="E209" s="5"/>
      <c r="F209" s="5"/>
      <c r="G209" s="112"/>
      <c r="H209" s="112"/>
      <c r="I209" s="112"/>
      <c r="J209" s="112"/>
      <c r="K209" s="112"/>
      <c r="L209" s="5"/>
      <c r="M209" s="5"/>
      <c r="N209" s="5"/>
      <c r="O209" s="5"/>
      <c r="P209" s="5"/>
      <c r="Q209" s="5"/>
      <c r="R209" s="5"/>
      <c r="S209" s="5"/>
      <c r="T209" s="5"/>
      <c r="U209" s="5"/>
      <c r="V209" s="5"/>
      <c r="W209" s="5"/>
      <c r="X209" s="5"/>
      <c r="Y209" s="5"/>
    </row>
    <row r="210" ht="15.75" customHeight="1">
      <c r="A210" s="5"/>
      <c r="B210" s="5"/>
      <c r="C210" s="5"/>
      <c r="D210" s="5"/>
      <c r="E210" s="5"/>
      <c r="F210" s="5"/>
      <c r="G210" s="112"/>
      <c r="H210" s="112"/>
      <c r="I210" s="112"/>
      <c r="J210" s="112"/>
      <c r="K210" s="112"/>
      <c r="L210" s="5"/>
      <c r="M210" s="5"/>
      <c r="N210" s="5"/>
      <c r="O210" s="5"/>
      <c r="P210" s="5"/>
      <c r="Q210" s="5"/>
      <c r="R210" s="5"/>
      <c r="S210" s="5"/>
      <c r="T210" s="5"/>
      <c r="U210" s="5"/>
      <c r="V210" s="5"/>
      <c r="W210" s="5"/>
      <c r="X210" s="5"/>
      <c r="Y210" s="5"/>
    </row>
    <row r="211" ht="15.75" customHeight="1">
      <c r="A211" s="5"/>
      <c r="B211" s="5"/>
      <c r="C211" s="5"/>
      <c r="D211" s="5"/>
      <c r="E211" s="5"/>
      <c r="F211" s="5"/>
      <c r="G211" s="112"/>
      <c r="H211" s="112"/>
      <c r="I211" s="112"/>
      <c r="J211" s="112"/>
      <c r="K211" s="112"/>
      <c r="L211" s="5"/>
      <c r="M211" s="5"/>
      <c r="N211" s="5"/>
      <c r="O211" s="5"/>
      <c r="P211" s="5"/>
      <c r="Q211" s="5"/>
      <c r="R211" s="5"/>
      <c r="S211" s="5"/>
      <c r="T211" s="5"/>
      <c r="U211" s="5"/>
      <c r="V211" s="5"/>
      <c r="W211" s="5"/>
      <c r="X211" s="5"/>
      <c r="Y211" s="5"/>
    </row>
    <row r="212" ht="15.75" customHeight="1">
      <c r="A212" s="5"/>
      <c r="B212" s="5"/>
      <c r="C212" s="5"/>
      <c r="D212" s="5"/>
      <c r="E212" s="5"/>
      <c r="F212" s="5"/>
      <c r="G212" s="112"/>
      <c r="H212" s="112"/>
      <c r="I212" s="112"/>
      <c r="J212" s="112"/>
      <c r="K212" s="112"/>
      <c r="L212" s="5"/>
      <c r="M212" s="5"/>
      <c r="N212" s="5"/>
      <c r="O212" s="5"/>
      <c r="P212" s="5"/>
      <c r="Q212" s="5"/>
      <c r="R212" s="5"/>
      <c r="S212" s="5"/>
      <c r="T212" s="5"/>
      <c r="U212" s="5"/>
      <c r="V212" s="5"/>
      <c r="W212" s="5"/>
      <c r="X212" s="5"/>
      <c r="Y212" s="5"/>
    </row>
    <row r="213" ht="15.75" customHeight="1">
      <c r="A213" s="5"/>
      <c r="B213" s="5"/>
      <c r="C213" s="5"/>
      <c r="D213" s="5"/>
      <c r="E213" s="5"/>
      <c r="F213" s="5"/>
      <c r="G213" s="112"/>
      <c r="H213" s="112"/>
      <c r="I213" s="112"/>
      <c r="J213" s="112"/>
      <c r="K213" s="112"/>
      <c r="L213" s="5"/>
      <c r="M213" s="5"/>
      <c r="N213" s="5"/>
      <c r="O213" s="5"/>
      <c r="P213" s="5"/>
      <c r="Q213" s="5"/>
      <c r="R213" s="5"/>
      <c r="S213" s="5"/>
      <c r="T213" s="5"/>
      <c r="U213" s="5"/>
      <c r="V213" s="5"/>
      <c r="W213" s="5"/>
      <c r="X213" s="5"/>
      <c r="Y213" s="5"/>
    </row>
    <row r="214" ht="15.75" customHeight="1">
      <c r="A214" s="5"/>
      <c r="B214" s="5"/>
      <c r="C214" s="5"/>
      <c r="D214" s="5"/>
      <c r="E214" s="5"/>
      <c r="F214" s="5"/>
      <c r="G214" s="112"/>
      <c r="H214" s="112"/>
      <c r="I214" s="112"/>
      <c r="J214" s="112"/>
      <c r="K214" s="112"/>
      <c r="L214" s="5"/>
      <c r="M214" s="5"/>
      <c r="N214" s="5"/>
      <c r="O214" s="5"/>
      <c r="P214" s="5"/>
      <c r="Q214" s="5"/>
      <c r="R214" s="5"/>
      <c r="S214" s="5"/>
      <c r="T214" s="5"/>
      <c r="U214" s="5"/>
      <c r="V214" s="5"/>
      <c r="W214" s="5"/>
      <c r="X214" s="5"/>
      <c r="Y214" s="5"/>
    </row>
    <row r="215" ht="15.75" customHeight="1">
      <c r="A215" s="5"/>
      <c r="B215" s="5"/>
      <c r="C215" s="5"/>
      <c r="D215" s="5"/>
      <c r="E215" s="5"/>
      <c r="F215" s="5"/>
      <c r="G215" s="112"/>
      <c r="H215" s="112"/>
      <c r="I215" s="112"/>
      <c r="J215" s="112"/>
      <c r="K215" s="112"/>
      <c r="L215" s="5"/>
      <c r="M215" s="5"/>
      <c r="N215" s="5"/>
      <c r="O215" s="5"/>
      <c r="P215" s="5"/>
      <c r="Q215" s="5"/>
      <c r="R215" s="5"/>
      <c r="S215" s="5"/>
      <c r="T215" s="5"/>
      <c r="U215" s="5"/>
      <c r="V215" s="5"/>
      <c r="W215" s="5"/>
      <c r="X215" s="5"/>
      <c r="Y215" s="5"/>
    </row>
    <row r="216" ht="15.75" customHeight="1">
      <c r="A216" s="5"/>
      <c r="B216" s="5"/>
      <c r="C216" s="5"/>
      <c r="D216" s="5"/>
      <c r="E216" s="5"/>
      <c r="F216" s="5"/>
      <c r="G216" s="112"/>
      <c r="H216" s="112"/>
      <c r="I216" s="112"/>
      <c r="J216" s="112"/>
      <c r="K216" s="112"/>
      <c r="L216" s="5"/>
      <c r="M216" s="5"/>
      <c r="N216" s="5"/>
      <c r="O216" s="5"/>
      <c r="P216" s="5"/>
      <c r="Q216" s="5"/>
      <c r="R216" s="5"/>
      <c r="S216" s="5"/>
      <c r="T216" s="5"/>
      <c r="U216" s="5"/>
      <c r="V216" s="5"/>
      <c r="W216" s="5"/>
      <c r="X216" s="5"/>
      <c r="Y216" s="5"/>
    </row>
    <row r="217" ht="15.75" customHeight="1">
      <c r="A217" s="5"/>
      <c r="B217" s="5"/>
      <c r="C217" s="5"/>
      <c r="D217" s="5"/>
      <c r="E217" s="5"/>
      <c r="F217" s="5"/>
      <c r="G217" s="112"/>
      <c r="H217" s="112"/>
      <c r="I217" s="112"/>
      <c r="J217" s="112"/>
      <c r="K217" s="112"/>
      <c r="L217" s="5"/>
      <c r="M217" s="5"/>
      <c r="N217" s="5"/>
      <c r="O217" s="5"/>
      <c r="P217" s="5"/>
      <c r="Q217" s="5"/>
      <c r="R217" s="5"/>
      <c r="S217" s="5"/>
      <c r="T217" s="5"/>
      <c r="U217" s="5"/>
      <c r="V217" s="5"/>
      <c r="W217" s="5"/>
      <c r="X217" s="5"/>
      <c r="Y217" s="5"/>
    </row>
    <row r="218" ht="15.75" customHeight="1">
      <c r="A218" s="5"/>
      <c r="B218" s="5"/>
      <c r="C218" s="5"/>
      <c r="D218" s="5"/>
      <c r="E218" s="5"/>
      <c r="F218" s="5"/>
      <c r="G218" s="112"/>
      <c r="H218" s="112"/>
      <c r="I218" s="112"/>
      <c r="J218" s="112"/>
      <c r="K218" s="112"/>
      <c r="L218" s="5"/>
      <c r="M218" s="5"/>
      <c r="N218" s="5"/>
      <c r="O218" s="5"/>
      <c r="P218" s="5"/>
      <c r="Q218" s="5"/>
      <c r="R218" s="5"/>
      <c r="S218" s="5"/>
      <c r="T218" s="5"/>
      <c r="U218" s="5"/>
      <c r="V218" s="5"/>
      <c r="W218" s="5"/>
      <c r="X218" s="5"/>
      <c r="Y218" s="5"/>
    </row>
    <row r="219" ht="15.75" customHeight="1">
      <c r="A219" s="5"/>
      <c r="B219" s="5"/>
      <c r="C219" s="5"/>
      <c r="D219" s="5"/>
      <c r="E219" s="5"/>
      <c r="F219" s="5"/>
      <c r="G219" s="112"/>
      <c r="H219" s="112"/>
      <c r="I219" s="112"/>
      <c r="J219" s="112"/>
      <c r="K219" s="112"/>
      <c r="L219" s="5"/>
      <c r="M219" s="5"/>
      <c r="N219" s="5"/>
      <c r="O219" s="5"/>
      <c r="P219" s="5"/>
      <c r="Q219" s="5"/>
      <c r="R219" s="5"/>
      <c r="S219" s="5"/>
      <c r="T219" s="5"/>
      <c r="U219" s="5"/>
      <c r="V219" s="5"/>
      <c r="W219" s="5"/>
      <c r="X219" s="5"/>
      <c r="Y219" s="5"/>
    </row>
    <row r="220" ht="15.75" customHeight="1">
      <c r="A220" s="5"/>
      <c r="B220" s="5"/>
      <c r="C220" s="5"/>
      <c r="D220" s="5"/>
      <c r="E220" s="5"/>
      <c r="F220" s="5"/>
      <c r="G220" s="112"/>
      <c r="H220" s="112"/>
      <c r="I220" s="112"/>
      <c r="J220" s="112"/>
      <c r="K220" s="112"/>
      <c r="L220" s="5"/>
      <c r="M220" s="5"/>
      <c r="N220" s="5"/>
      <c r="O220" s="5"/>
      <c r="P220" s="5"/>
      <c r="Q220" s="5"/>
      <c r="R220" s="5"/>
      <c r="S220" s="5"/>
      <c r="T220" s="5"/>
      <c r="U220" s="5"/>
      <c r="V220" s="5"/>
      <c r="W220" s="5"/>
      <c r="X220" s="5"/>
      <c r="Y220" s="5"/>
    </row>
    <row r="221" ht="15.75" customHeight="1">
      <c r="A221" s="5"/>
      <c r="B221" s="5"/>
      <c r="C221" s="5"/>
      <c r="D221" s="5"/>
      <c r="E221" s="5"/>
      <c r="F221" s="5"/>
      <c r="G221" s="112"/>
      <c r="H221" s="112"/>
      <c r="I221" s="112"/>
      <c r="J221" s="112"/>
      <c r="K221" s="112"/>
      <c r="L221" s="5"/>
      <c r="M221" s="5"/>
      <c r="N221" s="5"/>
      <c r="O221" s="5"/>
      <c r="P221" s="5"/>
      <c r="Q221" s="5"/>
      <c r="R221" s="5"/>
      <c r="S221" s="5"/>
      <c r="T221" s="5"/>
      <c r="U221" s="5"/>
      <c r="V221" s="5"/>
      <c r="W221" s="5"/>
      <c r="X221" s="5"/>
      <c r="Y221" s="5"/>
    </row>
    <row r="222" ht="15.75" customHeight="1">
      <c r="A222" s="5"/>
      <c r="B222" s="5"/>
      <c r="C222" s="5"/>
      <c r="D222" s="5"/>
      <c r="E222" s="5"/>
      <c r="F222" s="5"/>
      <c r="G222" s="112"/>
      <c r="H222" s="112"/>
      <c r="I222" s="112"/>
      <c r="J222" s="112"/>
      <c r="K222" s="112"/>
      <c r="L222" s="5"/>
      <c r="M222" s="5"/>
      <c r="N222" s="5"/>
      <c r="O222" s="5"/>
      <c r="P222" s="5"/>
      <c r="Q222" s="5"/>
      <c r="R222" s="5"/>
      <c r="S222" s="5"/>
      <c r="T222" s="5"/>
      <c r="U222" s="5"/>
      <c r="V222" s="5"/>
      <c r="W222" s="5"/>
      <c r="X222" s="5"/>
      <c r="Y222" s="5"/>
    </row>
    <row r="223" ht="15.75" customHeight="1">
      <c r="A223" s="5"/>
      <c r="B223" s="5"/>
      <c r="C223" s="5"/>
      <c r="D223" s="5"/>
      <c r="E223" s="5"/>
      <c r="F223" s="5"/>
      <c r="G223" s="112"/>
      <c r="H223" s="112"/>
      <c r="I223" s="112"/>
      <c r="J223" s="112"/>
      <c r="K223" s="112"/>
      <c r="L223" s="5"/>
      <c r="M223" s="5"/>
      <c r="N223" s="5"/>
      <c r="O223" s="5"/>
      <c r="P223" s="5"/>
      <c r="Q223" s="5"/>
      <c r="R223" s="5"/>
      <c r="S223" s="5"/>
      <c r="T223" s="5"/>
      <c r="U223" s="5"/>
      <c r="V223" s="5"/>
      <c r="W223" s="5"/>
      <c r="X223" s="5"/>
      <c r="Y223" s="5"/>
    </row>
    <row r="224" ht="15.75" customHeight="1">
      <c r="A224" s="5"/>
      <c r="B224" s="5"/>
      <c r="C224" s="5"/>
      <c r="D224" s="5"/>
      <c r="E224" s="5"/>
      <c r="F224" s="5"/>
      <c r="G224" s="112"/>
      <c r="H224" s="112"/>
      <c r="I224" s="112"/>
      <c r="J224" s="112"/>
      <c r="K224" s="112"/>
      <c r="L224" s="5"/>
      <c r="M224" s="5"/>
      <c r="N224" s="5"/>
      <c r="O224" s="5"/>
      <c r="P224" s="5"/>
      <c r="Q224" s="5"/>
      <c r="R224" s="5"/>
      <c r="S224" s="5"/>
      <c r="T224" s="5"/>
      <c r="U224" s="5"/>
      <c r="V224" s="5"/>
      <c r="W224" s="5"/>
      <c r="X224" s="5"/>
      <c r="Y224" s="5"/>
    </row>
    <row r="225" ht="15.75" customHeight="1">
      <c r="A225" s="5"/>
      <c r="B225" s="5"/>
      <c r="C225" s="5"/>
      <c r="D225" s="5"/>
      <c r="E225" s="5"/>
      <c r="F225" s="5"/>
      <c r="G225" s="112"/>
      <c r="H225" s="112"/>
      <c r="I225" s="112"/>
      <c r="J225" s="112"/>
      <c r="K225" s="112"/>
      <c r="L225" s="5"/>
      <c r="M225" s="5"/>
      <c r="N225" s="5"/>
      <c r="O225" s="5"/>
      <c r="P225" s="5"/>
      <c r="Q225" s="5"/>
      <c r="R225" s="5"/>
      <c r="S225" s="5"/>
      <c r="T225" s="5"/>
      <c r="U225" s="5"/>
      <c r="V225" s="5"/>
      <c r="W225" s="5"/>
      <c r="X225" s="5"/>
      <c r="Y225" s="5"/>
    </row>
    <row r="226" ht="15.75" customHeight="1">
      <c r="A226" s="5"/>
      <c r="B226" s="5"/>
      <c r="C226" s="5"/>
      <c r="D226" s="5"/>
      <c r="E226" s="5"/>
      <c r="F226" s="5"/>
      <c r="G226" s="112"/>
      <c r="H226" s="112"/>
      <c r="I226" s="112"/>
      <c r="J226" s="112"/>
      <c r="K226" s="112"/>
      <c r="L226" s="5"/>
      <c r="M226" s="5"/>
      <c r="N226" s="5"/>
      <c r="O226" s="5"/>
      <c r="P226" s="5"/>
      <c r="Q226" s="5"/>
      <c r="R226" s="5"/>
      <c r="S226" s="5"/>
      <c r="T226" s="5"/>
      <c r="U226" s="5"/>
      <c r="V226" s="5"/>
      <c r="W226" s="5"/>
      <c r="X226" s="5"/>
      <c r="Y226" s="5"/>
    </row>
    <row r="227" ht="15.75" customHeight="1">
      <c r="A227" s="5"/>
      <c r="B227" s="5"/>
      <c r="C227" s="5"/>
      <c r="D227" s="5"/>
      <c r="E227" s="5"/>
      <c r="F227" s="5"/>
      <c r="G227" s="112"/>
      <c r="H227" s="112"/>
      <c r="I227" s="112"/>
      <c r="J227" s="112"/>
      <c r="K227" s="112"/>
      <c r="L227" s="5"/>
      <c r="M227" s="5"/>
      <c r="N227" s="5"/>
      <c r="O227" s="5"/>
      <c r="P227" s="5"/>
      <c r="Q227" s="5"/>
      <c r="R227" s="5"/>
      <c r="S227" s="5"/>
      <c r="T227" s="5"/>
      <c r="U227" s="5"/>
      <c r="V227" s="5"/>
      <c r="W227" s="5"/>
      <c r="X227" s="5"/>
      <c r="Y227" s="5"/>
    </row>
    <row r="228" ht="15.75" customHeight="1">
      <c r="A228" s="5"/>
      <c r="B228" s="5"/>
      <c r="C228" s="5"/>
      <c r="D228" s="5"/>
      <c r="E228" s="5"/>
      <c r="F228" s="5"/>
      <c r="G228" s="112"/>
      <c r="H228" s="112"/>
      <c r="I228" s="112"/>
      <c r="J228" s="112"/>
      <c r="K228" s="112"/>
      <c r="L228" s="5"/>
      <c r="M228" s="5"/>
      <c r="N228" s="5"/>
      <c r="O228" s="5"/>
      <c r="P228" s="5"/>
      <c r="Q228" s="5"/>
      <c r="R228" s="5"/>
      <c r="S228" s="5"/>
      <c r="T228" s="5"/>
      <c r="U228" s="5"/>
      <c r="V228" s="5"/>
      <c r="W228" s="5"/>
      <c r="X228" s="5"/>
      <c r="Y228" s="5"/>
    </row>
    <row r="229" ht="15.75" customHeight="1">
      <c r="A229" s="5"/>
      <c r="B229" s="5"/>
      <c r="C229" s="5"/>
      <c r="D229" s="5"/>
      <c r="E229" s="5"/>
      <c r="F229" s="5"/>
      <c r="G229" s="112"/>
      <c r="H229" s="112"/>
      <c r="I229" s="112"/>
      <c r="J229" s="112"/>
      <c r="K229" s="112"/>
      <c r="L229" s="5"/>
      <c r="M229" s="5"/>
      <c r="N229" s="5"/>
      <c r="O229" s="5"/>
      <c r="P229" s="5"/>
      <c r="Q229" s="5"/>
      <c r="R229" s="5"/>
      <c r="S229" s="5"/>
      <c r="T229" s="5"/>
      <c r="U229" s="5"/>
      <c r="V229" s="5"/>
      <c r="W229" s="5"/>
      <c r="X229" s="5"/>
      <c r="Y229" s="5"/>
    </row>
    <row r="230" ht="15.75" customHeight="1">
      <c r="A230" s="5"/>
      <c r="B230" s="5"/>
      <c r="C230" s="5"/>
      <c r="D230" s="5"/>
      <c r="E230" s="5"/>
      <c r="F230" s="5"/>
      <c r="G230" s="112"/>
      <c r="H230" s="112"/>
      <c r="I230" s="112"/>
      <c r="J230" s="112"/>
      <c r="K230" s="112"/>
      <c r="L230" s="5"/>
      <c r="M230" s="5"/>
      <c r="N230" s="5"/>
      <c r="O230" s="5"/>
      <c r="P230" s="5"/>
      <c r="Q230" s="5"/>
      <c r="R230" s="5"/>
      <c r="S230" s="5"/>
      <c r="T230" s="5"/>
      <c r="U230" s="5"/>
      <c r="V230" s="5"/>
      <c r="W230" s="5"/>
      <c r="X230" s="5"/>
      <c r="Y230" s="5"/>
    </row>
    <row r="231" ht="15.75" customHeight="1">
      <c r="A231" s="5"/>
      <c r="B231" s="5"/>
      <c r="C231" s="5"/>
      <c r="D231" s="5"/>
      <c r="E231" s="5"/>
      <c r="F231" s="5"/>
      <c r="G231" s="112"/>
      <c r="H231" s="112"/>
      <c r="I231" s="112"/>
      <c r="J231" s="112"/>
      <c r="K231" s="112"/>
      <c r="L231" s="5"/>
      <c r="M231" s="5"/>
      <c r="N231" s="5"/>
      <c r="O231" s="5"/>
      <c r="P231" s="5"/>
      <c r="Q231" s="5"/>
      <c r="R231" s="5"/>
      <c r="S231" s="5"/>
      <c r="T231" s="5"/>
      <c r="U231" s="5"/>
      <c r="V231" s="5"/>
      <c r="W231" s="5"/>
      <c r="X231" s="5"/>
      <c r="Y231" s="5"/>
    </row>
    <row r="232" ht="15.75" customHeight="1">
      <c r="A232" s="5"/>
      <c r="B232" s="5"/>
      <c r="C232" s="5"/>
      <c r="D232" s="5"/>
      <c r="E232" s="5"/>
      <c r="F232" s="5"/>
      <c r="G232" s="112"/>
      <c r="H232" s="112"/>
      <c r="I232" s="112"/>
      <c r="J232" s="112"/>
      <c r="K232" s="112"/>
      <c r="L232" s="5"/>
      <c r="M232" s="5"/>
      <c r="N232" s="5"/>
      <c r="O232" s="5"/>
      <c r="P232" s="5"/>
      <c r="Q232" s="5"/>
      <c r="R232" s="5"/>
      <c r="S232" s="5"/>
      <c r="T232" s="5"/>
      <c r="U232" s="5"/>
      <c r="V232" s="5"/>
      <c r="W232" s="5"/>
      <c r="X232" s="5"/>
      <c r="Y232" s="5"/>
    </row>
    <row r="233" ht="15.75" customHeight="1">
      <c r="A233" s="5"/>
      <c r="B233" s="5"/>
      <c r="C233" s="5"/>
      <c r="D233" s="5"/>
      <c r="E233" s="5"/>
      <c r="F233" s="5"/>
      <c r="G233" s="112"/>
      <c r="H233" s="112"/>
      <c r="I233" s="112"/>
      <c r="J233" s="112"/>
      <c r="K233" s="112"/>
      <c r="L233" s="5"/>
      <c r="M233" s="5"/>
      <c r="N233" s="5"/>
      <c r="O233" s="5"/>
      <c r="P233" s="5"/>
      <c r="Q233" s="5"/>
      <c r="R233" s="5"/>
      <c r="S233" s="5"/>
      <c r="T233" s="5"/>
      <c r="U233" s="5"/>
      <c r="V233" s="5"/>
      <c r="W233" s="5"/>
      <c r="X233" s="5"/>
      <c r="Y233" s="5"/>
    </row>
    <row r="234" ht="15.75" customHeight="1">
      <c r="A234" s="5"/>
      <c r="B234" s="5"/>
      <c r="C234" s="5"/>
      <c r="D234" s="5"/>
      <c r="E234" s="5"/>
      <c r="F234" s="5"/>
      <c r="G234" s="112"/>
      <c r="H234" s="112"/>
      <c r="I234" s="112"/>
      <c r="J234" s="112"/>
      <c r="K234" s="112"/>
      <c r="L234" s="5"/>
      <c r="M234" s="5"/>
      <c r="N234" s="5"/>
      <c r="O234" s="5"/>
      <c r="P234" s="5"/>
      <c r="Q234" s="5"/>
      <c r="R234" s="5"/>
      <c r="S234" s="5"/>
      <c r="T234" s="5"/>
      <c r="U234" s="5"/>
      <c r="V234" s="5"/>
      <c r="W234" s="5"/>
      <c r="X234" s="5"/>
      <c r="Y234" s="5"/>
    </row>
    <row r="235" ht="15.75" customHeight="1">
      <c r="A235" s="5"/>
      <c r="B235" s="5"/>
      <c r="C235" s="5"/>
      <c r="D235" s="5"/>
      <c r="E235" s="5"/>
      <c r="F235" s="5"/>
      <c r="G235" s="112"/>
      <c r="H235" s="112"/>
      <c r="I235" s="112"/>
      <c r="J235" s="112"/>
      <c r="K235" s="112"/>
      <c r="L235" s="5"/>
      <c r="M235" s="5"/>
      <c r="N235" s="5"/>
      <c r="O235" s="5"/>
      <c r="P235" s="5"/>
      <c r="Q235" s="5"/>
      <c r="R235" s="5"/>
      <c r="S235" s="5"/>
      <c r="T235" s="5"/>
      <c r="U235" s="5"/>
      <c r="V235" s="5"/>
      <c r="W235" s="5"/>
      <c r="X235" s="5"/>
      <c r="Y235" s="5"/>
    </row>
    <row r="236" ht="15.75" customHeight="1">
      <c r="A236" s="5"/>
      <c r="B236" s="5"/>
      <c r="C236" s="5"/>
      <c r="D236" s="5"/>
      <c r="E236" s="5"/>
      <c r="F236" s="5"/>
      <c r="G236" s="112"/>
      <c r="H236" s="112"/>
      <c r="I236" s="112"/>
      <c r="J236" s="112"/>
      <c r="K236" s="112"/>
      <c r="L236" s="5"/>
      <c r="M236" s="5"/>
      <c r="N236" s="5"/>
      <c r="O236" s="5"/>
      <c r="P236" s="5"/>
      <c r="Q236" s="5"/>
      <c r="R236" s="5"/>
      <c r="S236" s="5"/>
      <c r="T236" s="5"/>
      <c r="U236" s="5"/>
      <c r="V236" s="5"/>
      <c r="W236" s="5"/>
      <c r="X236" s="5"/>
      <c r="Y236" s="5"/>
    </row>
    <row r="237" ht="15.75" customHeight="1">
      <c r="A237" s="5"/>
      <c r="B237" s="5"/>
      <c r="C237" s="5"/>
      <c r="D237" s="5"/>
      <c r="E237" s="5"/>
      <c r="F237" s="5"/>
      <c r="G237" s="112"/>
      <c r="H237" s="112"/>
      <c r="I237" s="112"/>
      <c r="J237" s="112"/>
      <c r="K237" s="112"/>
      <c r="L237" s="5"/>
      <c r="M237" s="5"/>
      <c r="N237" s="5"/>
      <c r="O237" s="5"/>
      <c r="P237" s="5"/>
      <c r="Q237" s="5"/>
      <c r="R237" s="5"/>
      <c r="S237" s="5"/>
      <c r="T237" s="5"/>
      <c r="U237" s="5"/>
      <c r="V237" s="5"/>
      <c r="W237" s="5"/>
      <c r="X237" s="5"/>
      <c r="Y237" s="5"/>
    </row>
    <row r="238" ht="15.75" customHeight="1">
      <c r="A238" s="5"/>
      <c r="B238" s="5"/>
      <c r="C238" s="5"/>
      <c r="D238" s="5"/>
      <c r="E238" s="5"/>
      <c r="F238" s="5"/>
      <c r="G238" s="112"/>
      <c r="H238" s="112"/>
      <c r="I238" s="112"/>
      <c r="J238" s="112"/>
      <c r="K238" s="112"/>
      <c r="L238" s="5"/>
      <c r="M238" s="5"/>
      <c r="N238" s="5"/>
      <c r="O238" s="5"/>
      <c r="P238" s="5"/>
      <c r="Q238" s="5"/>
      <c r="R238" s="5"/>
      <c r="S238" s="5"/>
      <c r="T238" s="5"/>
      <c r="U238" s="5"/>
      <c r="V238" s="5"/>
      <c r="W238" s="5"/>
      <c r="X238" s="5"/>
      <c r="Y238" s="5"/>
    </row>
    <row r="239" ht="15.75" customHeight="1">
      <c r="A239" s="5"/>
      <c r="B239" s="5"/>
      <c r="C239" s="5"/>
      <c r="D239" s="5"/>
      <c r="E239" s="5"/>
      <c r="F239" s="5"/>
      <c r="G239" s="112"/>
      <c r="H239" s="112"/>
      <c r="I239" s="112"/>
      <c r="J239" s="112"/>
      <c r="K239" s="112"/>
      <c r="L239" s="5"/>
      <c r="M239" s="5"/>
      <c r="N239" s="5"/>
      <c r="O239" s="5"/>
      <c r="P239" s="5"/>
      <c r="Q239" s="5"/>
      <c r="R239" s="5"/>
      <c r="S239" s="5"/>
      <c r="T239" s="5"/>
      <c r="U239" s="5"/>
      <c r="V239" s="5"/>
      <c r="W239" s="5"/>
      <c r="X239" s="5"/>
      <c r="Y239" s="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K14 K16 O13">
    <cfRule type="colorScale" priority="3">
      <colorScale>
        <cfvo type="min"/>
        <cfvo type="percentile" val="50"/>
        <cfvo type="max"/>
        <color rgb="FFF8696B"/>
        <color rgb="FFFFEB84"/>
        <color rgb="FF63BE7B"/>
      </colorScale>
    </cfRule>
  </conditionalFormatting>
  <conditionalFormatting sqref="A26:K26 A40:K40">
    <cfRule type="notContainsBlanks" dxfId="7" priority="4">
      <formula>LEN(TRIM(A26))&gt;0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2" max="25" width="8.71"/>
  </cols>
  <sheetData>
    <row r="1" ht="24.75" customHeight="1">
      <c r="A1" s="1"/>
      <c r="B1" s="2"/>
      <c r="C1" s="2"/>
      <c r="D1" s="3" t="str">
        <f>RubricTutor!D1</f>
        <v>Bachelor's degree in Techniques for Software Application Development</v>
      </c>
      <c r="E1" s="4"/>
      <c r="F1" s="4"/>
      <c r="G1" s="4"/>
      <c r="H1" s="4"/>
      <c r="I1" s="4"/>
      <c r="J1" s="4"/>
      <c r="K1" s="4"/>
      <c r="L1" s="5"/>
      <c r="M1" s="5"/>
      <c r="N1" s="5"/>
      <c r="O1" s="5"/>
      <c r="P1" s="5"/>
      <c r="Q1" s="5"/>
      <c r="R1" s="5"/>
      <c r="S1" s="5"/>
      <c r="T1" s="5"/>
      <c r="U1" s="5"/>
      <c r="V1" s="5"/>
      <c r="W1" s="5"/>
      <c r="X1" s="5"/>
      <c r="Y1" s="5"/>
    </row>
    <row r="2" ht="24.75" customHeight="1">
      <c r="A2" s="6"/>
      <c r="D2" s="3" t="str">
        <f>RubricTutor!D2</f>
        <v>Trabajo final - Semestre 2025-1</v>
      </c>
      <c r="E2" s="4"/>
      <c r="F2" s="4"/>
      <c r="G2" s="4"/>
      <c r="H2" s="4"/>
      <c r="I2" s="4"/>
      <c r="J2" s="4"/>
      <c r="K2" s="4"/>
      <c r="L2" s="5"/>
      <c r="M2" s="5"/>
      <c r="N2" s="5"/>
      <c r="O2" s="5"/>
      <c r="P2" s="5"/>
      <c r="Q2" s="5"/>
      <c r="R2" s="5"/>
      <c r="S2" s="5"/>
      <c r="T2" s="5"/>
      <c r="U2" s="5"/>
      <c r="V2" s="5"/>
      <c r="W2" s="5"/>
      <c r="X2" s="5"/>
      <c r="Y2" s="5"/>
    </row>
    <row r="3" ht="24.75" customHeight="1">
      <c r="A3" s="7"/>
      <c r="B3" s="7"/>
      <c r="C3" s="7"/>
      <c r="D3" s="7"/>
      <c r="E3" s="7"/>
      <c r="F3" s="7"/>
      <c r="G3" s="7"/>
      <c r="H3" s="8"/>
      <c r="I3" s="8"/>
      <c r="J3" s="8"/>
      <c r="K3" s="8"/>
      <c r="L3" s="8"/>
      <c r="M3" s="8"/>
      <c r="N3" s="5"/>
      <c r="O3" s="5"/>
      <c r="P3" s="5"/>
      <c r="Q3" s="5"/>
      <c r="R3" s="5"/>
      <c r="S3" s="5"/>
      <c r="T3" s="5"/>
      <c r="U3" s="5"/>
      <c r="V3" s="5"/>
      <c r="W3" s="5"/>
      <c r="X3" s="5"/>
      <c r="Y3" s="5"/>
    </row>
    <row r="4" ht="26.25" customHeight="1">
      <c r="A4" s="9" t="str">
        <f>Language!C5</f>
        <v>Nombre del/de la estudiante:</v>
      </c>
      <c r="B4" s="10"/>
      <c r="C4" s="10"/>
      <c r="D4" s="115" t="str">
        <f>RubricTutor!D4</f>
        <v/>
      </c>
      <c r="E4" s="10"/>
      <c r="F4" s="10"/>
      <c r="G4" s="10"/>
      <c r="H4" s="10"/>
      <c r="I4" s="10"/>
      <c r="J4" s="10"/>
      <c r="K4" s="12"/>
      <c r="L4" s="16"/>
      <c r="M4" s="16"/>
      <c r="N4" s="13"/>
      <c r="O4" s="13"/>
      <c r="P4" s="14"/>
      <c r="Q4" s="14"/>
      <c r="R4" s="5"/>
      <c r="S4" s="5"/>
      <c r="T4" s="5"/>
      <c r="U4" s="5"/>
      <c r="V4" s="5"/>
      <c r="W4" s="5"/>
      <c r="X4" s="5"/>
      <c r="Y4" s="5"/>
    </row>
    <row r="5" ht="26.25" customHeight="1">
      <c r="A5" s="15" t="str">
        <f>Language!C6</f>
        <v>Título del trabajo:</v>
      </c>
      <c r="D5" s="16" t="str">
        <f>RubricTutor!D5</f>
        <v/>
      </c>
      <c r="K5" s="17"/>
      <c r="L5" s="16"/>
      <c r="M5" s="16"/>
      <c r="N5" s="13"/>
      <c r="O5" s="13"/>
      <c r="P5" s="14"/>
      <c r="Q5" s="14"/>
      <c r="R5" s="5"/>
      <c r="S5" s="5"/>
      <c r="T5" s="5"/>
      <c r="U5" s="5"/>
      <c r="V5" s="5"/>
      <c r="W5" s="5"/>
      <c r="X5" s="5"/>
      <c r="Y5" s="5"/>
    </row>
    <row r="6" ht="26.25" customHeight="1">
      <c r="A6" s="15" t="str">
        <f>Language!C7</f>
        <v>Programa:		</v>
      </c>
      <c r="D6" s="16" t="str">
        <f>RubricTutor!D6</f>
        <v>Bachelor's degree in Techniques for Software Application Development</v>
      </c>
      <c r="K6" s="17"/>
      <c r="L6" s="16"/>
      <c r="M6" s="16"/>
      <c r="N6" s="13"/>
      <c r="O6" s="13"/>
      <c r="P6" s="14"/>
      <c r="Q6" s="14"/>
      <c r="R6" s="5"/>
      <c r="S6" s="5"/>
      <c r="T6" s="5"/>
      <c r="U6" s="5"/>
      <c r="V6" s="5"/>
      <c r="W6" s="5"/>
      <c r="X6" s="5"/>
      <c r="Y6" s="5"/>
    </row>
    <row r="7" ht="26.25" customHeight="1">
      <c r="A7" s="15" t="str">
        <f>Language!C9</f>
        <v>Tutor/a:</v>
      </c>
      <c r="D7" s="16" t="str">
        <f>RubricTutor!D8</f>
        <v/>
      </c>
      <c r="K7" s="17"/>
      <c r="L7" s="16"/>
      <c r="M7" s="16"/>
      <c r="N7" s="13"/>
      <c r="O7" s="13"/>
      <c r="P7" s="14"/>
      <c r="Q7" s="14"/>
      <c r="R7" s="5"/>
      <c r="S7" s="5"/>
      <c r="T7" s="5"/>
      <c r="U7" s="5"/>
      <c r="V7" s="5"/>
      <c r="W7" s="5"/>
      <c r="X7" s="5"/>
      <c r="Y7" s="5"/>
    </row>
    <row r="8" ht="26.25" customHeight="1">
      <c r="A8" s="15" t="str">
        <f>Language!C8</f>
        <v>Semestre:</v>
      </c>
      <c r="D8" s="18" t="str">
        <f>RubricTutor!D7</f>
        <v>2025-1</v>
      </c>
      <c r="K8" s="17"/>
      <c r="L8" s="16"/>
      <c r="M8" s="16"/>
      <c r="N8" s="13"/>
      <c r="O8" s="13"/>
      <c r="P8" s="14"/>
      <c r="Q8" s="14"/>
      <c r="R8" s="5"/>
      <c r="S8" s="5"/>
      <c r="T8" s="5"/>
      <c r="U8" s="5"/>
      <c r="V8" s="5"/>
      <c r="W8" s="5"/>
      <c r="X8" s="5"/>
      <c r="Y8" s="5"/>
    </row>
    <row r="9" ht="26.25" customHeight="1">
      <c r="A9" s="20" t="str">
        <f>Language!C12</f>
        <v>Evaluador/a 3:</v>
      </c>
      <c r="B9" s="21"/>
      <c r="C9" s="21"/>
      <c r="D9" s="116" t="str">
        <f>RubricTutor!D11</f>
        <v/>
      </c>
      <c r="E9" s="21"/>
      <c r="F9" s="21"/>
      <c r="G9" s="21"/>
      <c r="H9" s="21"/>
      <c r="I9" s="21"/>
      <c r="J9" s="21"/>
      <c r="K9" s="23"/>
      <c r="L9" s="16"/>
      <c r="M9" s="16"/>
      <c r="N9" s="13"/>
      <c r="O9" s="13"/>
      <c r="P9" s="14"/>
      <c r="Q9" s="14"/>
      <c r="R9" s="5"/>
      <c r="S9" s="5"/>
      <c r="T9" s="5"/>
      <c r="U9" s="5"/>
      <c r="V9" s="5"/>
      <c r="W9" s="5"/>
      <c r="X9" s="5"/>
      <c r="Y9" s="5"/>
    </row>
    <row r="10" ht="19.5" customHeight="1">
      <c r="H10" s="24"/>
      <c r="P10" s="5"/>
      <c r="Q10" s="5"/>
      <c r="R10" s="5"/>
      <c r="S10" s="5"/>
      <c r="T10" s="5"/>
      <c r="U10" s="5"/>
      <c r="V10" s="5"/>
      <c r="W10" s="5"/>
      <c r="X10" s="5"/>
      <c r="Y10" s="5"/>
    </row>
    <row r="11" ht="19.5" customHeight="1">
      <c r="A11" s="25" t="s">
        <v>2</v>
      </c>
      <c r="B11" s="26"/>
      <c r="C11" s="25" t="s">
        <v>3</v>
      </c>
      <c r="D11" s="26"/>
      <c r="E11" s="25" t="s">
        <v>4</v>
      </c>
      <c r="F11" s="26"/>
      <c r="G11" s="25" t="s">
        <v>5</v>
      </c>
      <c r="H11" s="26"/>
      <c r="I11" s="25" t="s">
        <v>6</v>
      </c>
      <c r="J11" s="27"/>
      <c r="K11" s="26"/>
      <c r="L11" s="28"/>
      <c r="M11" s="28"/>
      <c r="N11" s="28"/>
      <c r="O11" s="28"/>
      <c r="P11" s="28"/>
      <c r="Q11" s="28"/>
      <c r="R11" s="28"/>
      <c r="S11" s="28"/>
      <c r="T11" s="28"/>
      <c r="U11" s="28"/>
      <c r="V11" s="28"/>
      <c r="W11" s="28"/>
      <c r="X11" s="28"/>
      <c r="Y11" s="28"/>
    </row>
    <row r="12" ht="19.5" customHeight="1">
      <c r="A12" s="29">
        <v>10.0</v>
      </c>
      <c r="B12" s="29">
        <v>9.0</v>
      </c>
      <c r="C12" s="29">
        <v>8.0</v>
      </c>
      <c r="D12" s="29">
        <v>7.0</v>
      </c>
      <c r="E12" s="29">
        <v>6.0</v>
      </c>
      <c r="F12" s="29">
        <v>5.0</v>
      </c>
      <c r="G12" s="29">
        <v>4.0</v>
      </c>
      <c r="H12" s="29">
        <v>3.0</v>
      </c>
      <c r="I12" s="29">
        <v>2.0</v>
      </c>
      <c r="J12" s="29">
        <v>1.0</v>
      </c>
      <c r="K12" s="29">
        <v>0.0</v>
      </c>
      <c r="P12" s="5"/>
      <c r="Q12" s="5"/>
      <c r="R12" s="5"/>
      <c r="S12" s="5"/>
      <c r="T12" s="5"/>
      <c r="U12" s="5"/>
      <c r="V12" s="5"/>
      <c r="W12" s="5"/>
      <c r="X12" s="5"/>
      <c r="Y12" s="5"/>
    </row>
    <row r="13" ht="24.75" customHeight="1">
      <c r="A13" s="5"/>
      <c r="B13" s="5"/>
      <c r="C13" s="5"/>
      <c r="E13" s="5"/>
      <c r="G13" s="5"/>
      <c r="I13" s="5"/>
      <c r="K13" s="5"/>
      <c r="M13" s="28"/>
      <c r="O13" s="31"/>
    </row>
    <row r="14">
      <c r="A14" s="32" t="str">
        <f>Language!C62</f>
        <v>Evaluación del Evaluador/a 3</v>
      </c>
      <c r="B14" s="33"/>
      <c r="C14" s="33"/>
      <c r="D14" s="33"/>
      <c r="E14" s="33"/>
      <c r="F14" s="117"/>
      <c r="G14" s="118" t="str">
        <f>Language!C63</f>
        <v>Entrega final y defensa</v>
      </c>
      <c r="K14" s="31"/>
    </row>
    <row r="15">
      <c r="A15" s="38" t="str">
        <f>Language!C31</f>
        <v>Aspectos metodológicos</v>
      </c>
      <c r="B15" s="27"/>
      <c r="C15" s="27"/>
      <c r="D15" s="27"/>
      <c r="E15" s="27"/>
      <c r="F15" s="27"/>
      <c r="G15" s="119"/>
      <c r="H15" s="120"/>
      <c r="I15" s="120"/>
      <c r="J15" s="120"/>
      <c r="K15" s="96"/>
      <c r="M15" s="56"/>
      <c r="N15" s="56"/>
      <c r="O15" s="56"/>
      <c r="P15" s="56"/>
      <c r="Q15" s="56"/>
      <c r="R15" s="5"/>
      <c r="S15" s="5"/>
      <c r="T15" s="5"/>
      <c r="U15" s="5"/>
    </row>
    <row r="16">
      <c r="A16" s="121" t="str">
        <f>Language!C32</f>
        <v>Definición de unos objetivos claros, concretos, realistas y adecuados</v>
      </c>
      <c r="F16" s="17"/>
      <c r="G16" s="122" t="s">
        <v>9</v>
      </c>
      <c r="H16" s="123"/>
      <c r="I16" s="56"/>
      <c r="K16" s="31"/>
      <c r="L16" s="123"/>
      <c r="M16" s="56"/>
      <c r="N16" s="56"/>
      <c r="O16" s="56"/>
      <c r="P16" s="56"/>
      <c r="Q16" s="56"/>
      <c r="R16" s="57"/>
      <c r="S16" s="57"/>
      <c r="T16" s="57"/>
      <c r="U16" s="57"/>
    </row>
    <row r="17">
      <c r="A17" s="124" t="str">
        <f>Language!C33</f>
        <v>Definición de la metodología, planificación temporal y de recursos</v>
      </c>
      <c r="B17" s="91"/>
      <c r="C17" s="91"/>
      <c r="D17" s="91"/>
      <c r="E17" s="91"/>
      <c r="F17" s="125"/>
      <c r="G17" s="122" t="s">
        <v>9</v>
      </c>
      <c r="I17" s="56"/>
      <c r="K17" s="126"/>
      <c r="M17" s="56"/>
      <c r="N17" s="56"/>
      <c r="O17" s="56"/>
      <c r="P17" s="56"/>
      <c r="Q17" s="56"/>
      <c r="R17" s="61"/>
      <c r="S17" s="61"/>
      <c r="T17" s="61"/>
      <c r="U17" s="61"/>
    </row>
    <row r="18">
      <c r="A18" s="38" t="str">
        <f>Language!C34</f>
        <v>Especificación y diseño</v>
      </c>
      <c r="B18" s="27"/>
      <c r="C18" s="27"/>
      <c r="D18" s="27"/>
      <c r="E18" s="27"/>
      <c r="F18" s="27"/>
      <c r="G18" s="119"/>
      <c r="H18" s="96"/>
      <c r="I18" s="56"/>
      <c r="J18" s="96"/>
      <c r="K18" s="120"/>
      <c r="M18" s="56"/>
      <c r="N18" s="56"/>
      <c r="O18" s="56"/>
      <c r="P18" s="56"/>
      <c r="Q18" s="56"/>
      <c r="R18" s="5"/>
      <c r="S18" s="5"/>
      <c r="T18" s="5"/>
      <c r="U18" s="5"/>
    </row>
    <row r="19">
      <c r="A19" s="127" t="str">
        <f>Language!C35</f>
        <v>Estudio previo e identificación de los aspectos relevantes del problema y de su solución (e.g. estado del arte, estudio de mercado)</v>
      </c>
      <c r="B19" s="45"/>
      <c r="C19" s="45"/>
      <c r="D19" s="45"/>
      <c r="E19" s="45"/>
      <c r="F19" s="128"/>
      <c r="G19" s="122" t="s">
        <v>9</v>
      </c>
      <c r="H19" s="120"/>
      <c r="I19" s="56"/>
      <c r="J19" s="120"/>
      <c r="K19" s="96"/>
      <c r="M19" s="56"/>
      <c r="N19" s="56"/>
      <c r="O19" s="56"/>
      <c r="P19" s="56"/>
      <c r="Q19" s="56"/>
      <c r="R19" s="5"/>
      <c r="S19" s="5"/>
      <c r="T19" s="5"/>
      <c r="U19" s="5"/>
    </row>
    <row r="20">
      <c r="A20" s="129" t="str">
        <f>Language!C36</f>
        <v>Análisis de requerimientos</v>
      </c>
      <c r="B20" s="81"/>
      <c r="C20" s="81"/>
      <c r="D20" s="81"/>
      <c r="E20" s="81"/>
      <c r="F20" s="130"/>
      <c r="G20" s="122" t="s">
        <v>9</v>
      </c>
      <c r="H20" s="120"/>
      <c r="I20" s="56"/>
      <c r="J20" s="120"/>
      <c r="K20" s="96"/>
      <c r="M20" s="56"/>
      <c r="N20" s="56"/>
      <c r="O20" s="56"/>
      <c r="P20" s="56"/>
      <c r="Q20" s="56"/>
      <c r="R20" s="5"/>
      <c r="S20" s="5"/>
      <c r="T20" s="5"/>
      <c r="U20" s="5"/>
    </row>
    <row r="21" ht="15.75" customHeight="1">
      <c r="A21" s="131" t="str">
        <f>Language!C37</f>
        <v>Diseño adecuado de la propuesta</v>
      </c>
      <c r="F21" s="17"/>
      <c r="G21" s="122" t="s">
        <v>9</v>
      </c>
      <c r="H21" s="120"/>
      <c r="I21" s="56"/>
      <c r="J21" s="120"/>
      <c r="K21" s="96"/>
      <c r="L21" s="5"/>
      <c r="M21" s="56"/>
      <c r="N21" s="56"/>
      <c r="O21" s="56"/>
      <c r="P21" s="56"/>
      <c r="Q21" s="56"/>
      <c r="R21" s="5"/>
      <c r="S21" s="5"/>
      <c r="T21" s="5"/>
      <c r="U21" s="5"/>
    </row>
    <row r="22" ht="15.75" customHeight="1">
      <c r="A22" s="124" t="str">
        <f>Language!C38</f>
        <v>Elección de herramientas, tecnologías y fuentes de información adecuadas para el desarrollo del trabajo</v>
      </c>
      <c r="B22" s="91"/>
      <c r="C22" s="91"/>
      <c r="D22" s="91"/>
      <c r="E22" s="91"/>
      <c r="F22" s="125"/>
      <c r="G22" s="122" t="s">
        <v>9</v>
      </c>
      <c r="H22" s="120"/>
      <c r="I22" s="56"/>
      <c r="J22" s="120"/>
      <c r="K22" s="96"/>
      <c r="L22" s="5"/>
      <c r="M22" s="5"/>
      <c r="N22" s="5"/>
      <c r="O22" s="5"/>
      <c r="P22" s="5"/>
      <c r="Q22" s="5"/>
      <c r="R22" s="5"/>
      <c r="S22" s="5"/>
      <c r="T22" s="5"/>
      <c r="U22" s="5"/>
    </row>
    <row r="23" ht="15.75" customHeight="1">
      <c r="A23" s="132" t="str">
        <f>Language!C39</f>
        <v>Grado de análisis y tratamiento del impacto ético-social, de sostenibilidad y de diversidad del trabajo</v>
      </c>
      <c r="B23" s="91"/>
      <c r="C23" s="91"/>
      <c r="D23" s="91"/>
      <c r="E23" s="91"/>
      <c r="F23" s="91"/>
      <c r="G23" s="122" t="s">
        <v>9</v>
      </c>
      <c r="H23" s="120"/>
      <c r="I23" s="56"/>
      <c r="J23" s="120"/>
      <c r="K23" s="96"/>
      <c r="L23" s="5"/>
      <c r="M23" s="5"/>
      <c r="N23" s="5"/>
      <c r="O23" s="5"/>
      <c r="P23" s="5"/>
      <c r="Q23" s="5"/>
      <c r="R23" s="5"/>
      <c r="S23" s="5"/>
      <c r="T23" s="5"/>
      <c r="U23" s="5"/>
    </row>
    <row r="24" ht="15.75" customHeight="1">
      <c r="A24" s="38" t="str">
        <f>Language!C40</f>
        <v>Ejecución e implementación del proyecto</v>
      </c>
      <c r="B24" s="27"/>
      <c r="C24" s="27"/>
      <c r="D24" s="27"/>
      <c r="E24" s="27"/>
      <c r="F24" s="27"/>
      <c r="G24" s="119"/>
      <c r="H24" s="96"/>
      <c r="I24" s="56"/>
      <c r="J24" s="96"/>
      <c r="K24" s="120"/>
      <c r="L24" s="111"/>
      <c r="M24" s="111"/>
      <c r="N24" s="5"/>
      <c r="O24" s="5"/>
      <c r="P24" s="112"/>
      <c r="Q24" s="5"/>
      <c r="R24" s="5"/>
      <c r="S24" s="5"/>
      <c r="T24" s="5"/>
      <c r="U24" s="5"/>
      <c r="V24" s="5"/>
      <c r="W24" s="5"/>
      <c r="X24" s="5"/>
      <c r="Y24" s="5"/>
    </row>
    <row r="25" ht="15.75" customHeight="1">
      <c r="A25" s="127" t="str">
        <f>Language!C42</f>
        <v>Calidad de la contribución técnica y/o científica del proyecto. Calidad de la solución/producto en desarrollo/obtenido</v>
      </c>
      <c r="B25" s="45"/>
      <c r="C25" s="45"/>
      <c r="D25" s="45"/>
      <c r="E25" s="45"/>
      <c r="F25" s="128"/>
      <c r="G25" s="122" t="s">
        <v>9</v>
      </c>
      <c r="H25" s="120"/>
      <c r="I25" s="56"/>
      <c r="J25" s="120"/>
      <c r="K25" s="96"/>
      <c r="L25" s="5"/>
      <c r="M25" s="5"/>
      <c r="N25" s="5"/>
      <c r="O25" s="5"/>
      <c r="P25" s="5"/>
      <c r="Q25" s="5"/>
      <c r="R25" s="5"/>
      <c r="S25" s="5"/>
      <c r="T25" s="5"/>
      <c r="U25" s="5"/>
      <c r="V25" s="5"/>
      <c r="W25" s="5"/>
      <c r="X25" s="5"/>
      <c r="Y25" s="5"/>
    </row>
    <row r="26" ht="15.75" customHeight="1">
      <c r="A26" s="129" t="str">
        <f>Language!C43</f>
        <v>Grado de innovación de la solución presentada</v>
      </c>
      <c r="B26" s="81"/>
      <c r="C26" s="81"/>
      <c r="D26" s="81"/>
      <c r="E26" s="81"/>
      <c r="F26" s="130"/>
      <c r="G26" s="122" t="s">
        <v>9</v>
      </c>
      <c r="H26" s="120"/>
      <c r="I26" s="56"/>
      <c r="J26" s="120"/>
      <c r="K26" s="96"/>
      <c r="L26" s="5"/>
      <c r="M26" s="5"/>
      <c r="N26" s="5"/>
      <c r="O26" s="5"/>
      <c r="P26" s="5"/>
      <c r="Q26" s="5"/>
      <c r="R26" s="5"/>
      <c r="S26" s="5"/>
      <c r="T26" s="5"/>
      <c r="U26" s="5"/>
      <c r="V26" s="5"/>
      <c r="W26" s="5"/>
      <c r="X26" s="5"/>
      <c r="Y26" s="5"/>
    </row>
    <row r="27" ht="15.75" customHeight="1">
      <c r="A27" s="124" t="str">
        <f>Language!C44</f>
        <v>Conclusiones y discusión de los resultados</v>
      </c>
      <c r="B27" s="91"/>
      <c r="C27" s="91"/>
      <c r="D27" s="91"/>
      <c r="E27" s="91"/>
      <c r="F27" s="125"/>
      <c r="G27" s="122" t="s">
        <v>9</v>
      </c>
      <c r="H27" s="120"/>
      <c r="I27" s="56"/>
      <c r="J27" s="120"/>
      <c r="K27" s="96"/>
      <c r="L27" s="5"/>
      <c r="M27" s="5"/>
      <c r="N27" s="5"/>
      <c r="O27" s="5"/>
      <c r="P27" s="5"/>
      <c r="Q27" s="5"/>
      <c r="R27" s="5"/>
      <c r="S27" s="5"/>
      <c r="T27" s="5"/>
      <c r="U27" s="5"/>
      <c r="V27" s="5"/>
      <c r="W27" s="5"/>
      <c r="X27" s="5"/>
      <c r="Y27" s="5"/>
    </row>
    <row r="28" ht="15.75" customHeight="1">
      <c r="A28" s="38" t="str">
        <f>Language!C45</f>
        <v>Aspectos formales de la memoria</v>
      </c>
      <c r="B28" s="27"/>
      <c r="C28" s="27"/>
      <c r="D28" s="27"/>
      <c r="E28" s="27"/>
      <c r="F28" s="27"/>
      <c r="G28" s="119"/>
      <c r="H28" s="96"/>
      <c r="I28" s="56"/>
      <c r="J28" s="96"/>
      <c r="K28" s="120"/>
      <c r="L28" s="5"/>
      <c r="M28" s="5"/>
      <c r="N28" s="5"/>
      <c r="O28" s="5"/>
      <c r="P28" s="5"/>
      <c r="Q28" s="5"/>
      <c r="R28" s="5"/>
      <c r="S28" s="5"/>
      <c r="T28" s="5"/>
      <c r="U28" s="5"/>
      <c r="V28" s="5"/>
      <c r="W28" s="5"/>
      <c r="X28" s="5"/>
      <c r="Y28" s="5"/>
    </row>
    <row r="29" ht="15.75" customHeight="1">
      <c r="A29" s="127" t="str">
        <f>Language!C46</f>
        <v>Redacción adecuada, utilización flexible de un lenguaje inclusivo, y organización clara y correcta del contenido</v>
      </c>
      <c r="B29" s="45"/>
      <c r="C29" s="45"/>
      <c r="D29" s="45"/>
      <c r="E29" s="45"/>
      <c r="F29" s="128"/>
      <c r="G29" s="122" t="s">
        <v>9</v>
      </c>
      <c r="H29" s="120"/>
      <c r="I29" s="56"/>
      <c r="J29" s="120"/>
      <c r="K29" s="96"/>
      <c r="L29" s="5"/>
      <c r="M29" s="5"/>
      <c r="N29" s="5"/>
      <c r="O29" s="5"/>
      <c r="P29" s="5"/>
      <c r="Q29" s="5"/>
      <c r="R29" s="5"/>
      <c r="S29" s="5"/>
      <c r="T29" s="5"/>
      <c r="U29" s="5"/>
      <c r="V29" s="5"/>
      <c r="W29" s="5"/>
      <c r="X29" s="5"/>
      <c r="Y29" s="5"/>
    </row>
    <row r="30" ht="15.75" customHeight="1">
      <c r="A30" s="124" t="str">
        <f>Language!C47</f>
        <v>Fuentes de información y referencias bibliográficas</v>
      </c>
      <c r="B30" s="91"/>
      <c r="C30" s="91"/>
      <c r="D30" s="91"/>
      <c r="E30" s="91"/>
      <c r="F30" s="125"/>
      <c r="G30" s="122" t="s">
        <v>9</v>
      </c>
      <c r="H30" s="120"/>
      <c r="I30" s="56"/>
      <c r="J30" s="120"/>
      <c r="K30" s="96"/>
      <c r="L30" s="5"/>
      <c r="M30" s="5"/>
      <c r="N30" s="5"/>
      <c r="O30" s="5"/>
      <c r="P30" s="5"/>
      <c r="Q30" s="5"/>
      <c r="R30" s="5"/>
      <c r="S30" s="5"/>
      <c r="T30" s="5"/>
      <c r="U30" s="5"/>
      <c r="V30" s="5"/>
      <c r="W30" s="5"/>
      <c r="X30" s="5"/>
      <c r="Y30" s="5"/>
    </row>
    <row r="31" ht="15.75" customHeight="1">
      <c r="A31" s="38" t="str">
        <f>Language!C48</f>
        <v>Defensa del proyecto</v>
      </c>
      <c r="B31" s="27"/>
      <c r="C31" s="27"/>
      <c r="D31" s="27"/>
      <c r="E31" s="27"/>
      <c r="F31" s="27"/>
      <c r="G31" s="119"/>
      <c r="H31" s="96"/>
      <c r="I31" s="56"/>
      <c r="J31" s="96"/>
      <c r="K31" s="120"/>
      <c r="L31" s="5"/>
      <c r="M31" s="5"/>
      <c r="N31" s="5"/>
      <c r="O31" s="5"/>
      <c r="P31" s="5"/>
      <c r="Q31" s="5"/>
      <c r="R31" s="5"/>
      <c r="S31" s="5"/>
      <c r="T31" s="5"/>
      <c r="U31" s="5"/>
      <c r="V31" s="5"/>
      <c r="W31" s="5"/>
      <c r="X31" s="5"/>
      <c r="Y31" s="5"/>
    </row>
    <row r="32" ht="15.75" customHeight="1">
      <c r="A32" s="127" t="str">
        <f>Language!C49</f>
        <v>Calidad de la presentación oral y de los recursos visuales</v>
      </c>
      <c r="B32" s="45"/>
      <c r="C32" s="45"/>
      <c r="D32" s="45"/>
      <c r="E32" s="45"/>
      <c r="F32" s="128"/>
      <c r="G32" s="122" t="s">
        <v>9</v>
      </c>
      <c r="H32" s="120"/>
      <c r="I32" s="56"/>
      <c r="J32" s="120"/>
      <c r="L32" s="5"/>
      <c r="M32" s="5"/>
      <c r="N32" s="5"/>
      <c r="O32" s="5"/>
      <c r="P32" s="5"/>
      <c r="Q32" s="5"/>
      <c r="R32" s="5"/>
      <c r="S32" s="5"/>
      <c r="T32" s="5"/>
      <c r="U32" s="5"/>
      <c r="V32" s="5"/>
      <c r="W32" s="5"/>
      <c r="X32" s="5"/>
      <c r="Y32" s="5"/>
    </row>
    <row r="33" ht="15.75" customHeight="1">
      <c r="A33" s="131" t="str">
        <f>Language!C50</f>
        <v>Respuesta clara y fundamentada a las preguntas de la comisión</v>
      </c>
      <c r="F33" s="17"/>
      <c r="G33" s="122" t="s">
        <v>9</v>
      </c>
      <c r="I33" s="56"/>
      <c r="K33" s="5"/>
      <c r="L33" s="5"/>
      <c r="M33" s="5"/>
      <c r="N33" s="5"/>
      <c r="O33" s="5"/>
      <c r="P33" s="5"/>
      <c r="Q33" s="5"/>
      <c r="R33" s="5"/>
      <c r="S33" s="5"/>
      <c r="T33" s="5"/>
      <c r="U33" s="5"/>
      <c r="V33" s="5"/>
      <c r="W33" s="5"/>
      <c r="X33" s="5"/>
      <c r="Y33" s="5"/>
    </row>
    <row r="34" ht="15.75" customHeight="1">
      <c r="A34" s="105" t="str">
        <f>Language!C27</f>
        <v>Final</v>
      </c>
      <c r="B34" s="27"/>
      <c r="C34" s="27"/>
      <c r="D34" s="27"/>
      <c r="E34" s="27"/>
      <c r="F34" s="26"/>
      <c r="G34" s="133">
        <f>ROUND(SUMPRODUCT(G16:G33,DefenseSummary!B9:B26)/SUM(DefenseSummary!B9:B26),1)</f>
        <v>0</v>
      </c>
      <c r="H34" s="5"/>
      <c r="I34" s="140"/>
      <c r="J34" s="5"/>
      <c r="K34" s="5"/>
      <c r="L34" s="5"/>
      <c r="M34" s="5"/>
      <c r="N34" s="5"/>
      <c r="O34" s="5"/>
      <c r="P34" s="5"/>
      <c r="Q34" s="5"/>
      <c r="R34" s="5"/>
      <c r="S34" s="5"/>
      <c r="T34" s="5"/>
      <c r="U34" s="5"/>
      <c r="V34" s="5"/>
      <c r="W34" s="5"/>
      <c r="X34" s="5"/>
      <c r="Y34" s="5"/>
    </row>
    <row r="35" ht="15.75" customHeight="1">
      <c r="A35" s="107"/>
      <c r="G35" s="135" t="str">
        <f>IF(G34&gt;=9,"A",IF(G34&gt;=7,"B",IF(G34&gt;=5,"C+",IF(G34&gt;=3,"C-","D"))))</f>
        <v>D</v>
      </c>
      <c r="H35" s="5"/>
      <c r="I35" s="5"/>
      <c r="J35" s="5"/>
      <c r="K35" s="5"/>
      <c r="L35" s="5"/>
      <c r="M35" s="5"/>
      <c r="N35" s="5"/>
      <c r="O35" s="5"/>
      <c r="P35" s="5"/>
      <c r="Q35" s="5"/>
      <c r="R35" s="5"/>
      <c r="S35" s="5"/>
      <c r="T35" s="5"/>
      <c r="U35" s="5"/>
      <c r="V35" s="5"/>
      <c r="W35" s="5"/>
      <c r="X35" s="5"/>
      <c r="Y35" s="5"/>
    </row>
    <row r="36" ht="15.75" customHeight="1">
      <c r="A36" s="110"/>
      <c r="B36" s="110"/>
      <c r="C36" s="110"/>
      <c r="D36" s="110"/>
      <c r="E36" s="110"/>
      <c r="F36" s="110"/>
      <c r="G36" s="110"/>
      <c r="H36" s="110"/>
      <c r="I36" s="110"/>
      <c r="J36" s="110"/>
      <c r="K36" s="110"/>
      <c r="L36" s="5"/>
      <c r="M36" s="5"/>
      <c r="N36" s="5"/>
      <c r="O36" s="5"/>
      <c r="P36" s="5"/>
      <c r="Q36" s="5"/>
      <c r="R36" s="5"/>
      <c r="S36" s="5"/>
      <c r="T36" s="5"/>
      <c r="U36" s="5"/>
      <c r="V36" s="5"/>
      <c r="W36" s="5"/>
      <c r="X36" s="5"/>
      <c r="Y36" s="5"/>
    </row>
    <row r="37" ht="15.75" customHeight="1">
      <c r="A37" s="136" t="str">
        <f>Language!C64</f>
        <v>Marca esta casilla si crees que este trabajo merece ser considerado para matrícula de honor</v>
      </c>
      <c r="B37" s="4"/>
      <c r="C37" s="4"/>
      <c r="D37" s="4"/>
      <c r="E37" s="4"/>
      <c r="F37" s="4"/>
      <c r="G37" s="110" t="b">
        <v>0</v>
      </c>
      <c r="H37" s="110"/>
      <c r="I37" s="110"/>
      <c r="J37" s="110"/>
      <c r="K37" s="110"/>
      <c r="L37" s="5"/>
      <c r="M37" s="5"/>
      <c r="N37" s="5"/>
      <c r="O37" s="5"/>
      <c r="P37" s="5"/>
      <c r="Q37" s="5"/>
      <c r="R37" s="5"/>
      <c r="S37" s="5"/>
      <c r="T37" s="5"/>
      <c r="U37" s="5"/>
      <c r="V37" s="5"/>
      <c r="W37" s="5"/>
      <c r="X37" s="5"/>
      <c r="Y37" s="5"/>
    </row>
    <row r="38" ht="15.75" customHeight="1">
      <c r="A38" s="110"/>
      <c r="B38" s="110"/>
      <c r="C38" s="110"/>
      <c r="D38" s="110"/>
      <c r="E38" s="110"/>
      <c r="F38" s="110"/>
      <c r="G38" s="110"/>
      <c r="H38" s="110"/>
      <c r="I38" s="110"/>
      <c r="J38" s="110"/>
      <c r="K38" s="110"/>
      <c r="L38" s="5"/>
      <c r="M38" s="5"/>
      <c r="N38" s="5"/>
      <c r="O38" s="5"/>
      <c r="P38" s="5"/>
      <c r="Q38" s="5"/>
      <c r="R38" s="5"/>
      <c r="S38" s="5"/>
      <c r="T38" s="5"/>
      <c r="U38" s="5"/>
      <c r="V38" s="5"/>
      <c r="W38" s="5"/>
      <c r="X38" s="5"/>
      <c r="Y38" s="5"/>
    </row>
    <row r="39" ht="15.75" customHeight="1">
      <c r="A39" s="113" t="str">
        <f>Language!C59</f>
        <v>Observaciones y recomendaciones:</v>
      </c>
      <c r="B39" s="33"/>
      <c r="C39" s="33"/>
      <c r="D39" s="33"/>
      <c r="E39" s="33"/>
      <c r="F39" s="33"/>
      <c r="G39" s="33"/>
      <c r="H39" s="33"/>
      <c r="I39" s="33"/>
      <c r="J39" s="33"/>
      <c r="K39" s="34"/>
      <c r="L39" s="5"/>
      <c r="M39" s="5"/>
      <c r="N39" s="5"/>
      <c r="O39" s="5"/>
      <c r="P39" s="5"/>
      <c r="Q39" s="5"/>
      <c r="R39" s="5"/>
      <c r="S39" s="5"/>
      <c r="T39" s="5"/>
      <c r="U39" s="5"/>
      <c r="V39" s="5"/>
      <c r="W39" s="5"/>
      <c r="X39" s="5"/>
      <c r="Y39" s="5"/>
    </row>
    <row r="40" ht="66.0" customHeight="1">
      <c r="A40" s="137"/>
      <c r="B40" s="138"/>
      <c r="C40" s="138"/>
      <c r="D40" s="138"/>
      <c r="E40" s="138"/>
      <c r="F40" s="138"/>
      <c r="G40" s="138"/>
      <c r="H40" s="138"/>
      <c r="I40" s="138"/>
      <c r="J40" s="138"/>
      <c r="K40" s="139"/>
      <c r="L40" s="5"/>
      <c r="M40" s="5"/>
      <c r="N40" s="5"/>
      <c r="O40" s="5"/>
      <c r="P40" s="5"/>
      <c r="Q40" s="5"/>
      <c r="R40" s="5"/>
      <c r="S40" s="5"/>
      <c r="T40" s="5"/>
      <c r="U40" s="5"/>
      <c r="V40" s="5"/>
      <c r="W40" s="5"/>
      <c r="X40" s="5"/>
      <c r="Y40" s="5"/>
    </row>
    <row r="41" ht="15.75" customHeight="1">
      <c r="A41" s="5"/>
      <c r="B41" s="5"/>
      <c r="C41" s="5"/>
      <c r="D41" s="5"/>
      <c r="E41" s="5"/>
      <c r="F41" s="5"/>
      <c r="G41" s="112"/>
      <c r="H41" s="112"/>
      <c r="I41" s="112"/>
      <c r="J41" s="112"/>
      <c r="K41" s="112"/>
      <c r="L41" s="5"/>
      <c r="M41" s="5"/>
      <c r="N41" s="5"/>
      <c r="O41" s="5"/>
      <c r="P41" s="5"/>
      <c r="Q41" s="5"/>
      <c r="R41" s="5"/>
      <c r="S41" s="5"/>
      <c r="T41" s="5"/>
      <c r="U41" s="5"/>
      <c r="V41" s="5"/>
      <c r="W41" s="5"/>
      <c r="X41" s="5"/>
      <c r="Y41" s="5"/>
    </row>
    <row r="42" ht="15.75" customHeight="1">
      <c r="A42" s="5"/>
      <c r="B42" s="5"/>
      <c r="C42" s="5"/>
      <c r="D42" s="5"/>
      <c r="E42" s="5"/>
      <c r="F42" s="5"/>
      <c r="G42" s="112"/>
      <c r="H42" s="112"/>
      <c r="I42" s="112"/>
      <c r="J42" s="112"/>
      <c r="K42" s="112"/>
      <c r="L42" s="5"/>
      <c r="M42" s="5"/>
      <c r="N42" s="5"/>
      <c r="O42" s="5"/>
      <c r="P42" s="5"/>
      <c r="Q42" s="5"/>
      <c r="R42" s="5"/>
      <c r="S42" s="5"/>
      <c r="T42" s="5"/>
      <c r="U42" s="5"/>
      <c r="V42" s="5"/>
      <c r="W42" s="5"/>
      <c r="X42" s="5"/>
      <c r="Y42" s="5"/>
    </row>
    <row r="43" ht="15.75" customHeight="1">
      <c r="A43" s="5"/>
      <c r="B43" s="5"/>
      <c r="C43" s="5"/>
      <c r="D43" s="5"/>
      <c r="E43" s="5"/>
      <c r="F43" s="5"/>
      <c r="G43" s="112"/>
      <c r="H43" s="112"/>
      <c r="I43" s="112"/>
      <c r="J43" s="112"/>
      <c r="K43" s="112"/>
      <c r="L43" s="5"/>
      <c r="M43" s="5"/>
      <c r="N43" s="5"/>
      <c r="O43" s="5"/>
      <c r="P43" s="5"/>
      <c r="Q43" s="5"/>
      <c r="R43" s="5"/>
      <c r="S43" s="5"/>
      <c r="T43" s="5"/>
      <c r="U43" s="5"/>
      <c r="V43" s="5"/>
      <c r="W43" s="5"/>
      <c r="X43" s="5"/>
      <c r="Y43" s="5"/>
    </row>
    <row r="44" ht="15.75" customHeight="1">
      <c r="A44" s="5"/>
      <c r="B44" s="5"/>
      <c r="C44" s="5"/>
      <c r="D44" s="5"/>
      <c r="E44" s="5"/>
      <c r="F44" s="5"/>
      <c r="G44" s="112"/>
      <c r="H44" s="112"/>
      <c r="I44" s="112"/>
      <c r="J44" s="112"/>
      <c r="K44" s="112"/>
      <c r="L44" s="5"/>
      <c r="M44" s="5"/>
      <c r="N44" s="5"/>
      <c r="O44" s="5"/>
      <c r="P44" s="5"/>
      <c r="Q44" s="5"/>
      <c r="R44" s="5"/>
      <c r="S44" s="5"/>
      <c r="T44" s="5"/>
      <c r="U44" s="5"/>
      <c r="V44" s="5"/>
      <c r="W44" s="5"/>
      <c r="X44" s="5"/>
      <c r="Y44" s="5"/>
    </row>
    <row r="45" ht="15.75" customHeight="1">
      <c r="A45" s="5"/>
      <c r="B45" s="5"/>
      <c r="C45" s="5"/>
      <c r="D45" s="5"/>
      <c r="E45" s="5"/>
      <c r="F45" s="5"/>
      <c r="G45" s="112"/>
      <c r="H45" s="112"/>
      <c r="I45" s="112"/>
      <c r="J45" s="112"/>
      <c r="K45" s="112"/>
      <c r="L45" s="5"/>
      <c r="M45" s="5"/>
      <c r="N45" s="5"/>
      <c r="O45" s="5"/>
      <c r="P45" s="5"/>
      <c r="Q45" s="5"/>
      <c r="R45" s="5"/>
      <c r="S45" s="5"/>
      <c r="T45" s="5"/>
      <c r="U45" s="5"/>
      <c r="V45" s="5"/>
      <c r="W45" s="5"/>
      <c r="X45" s="5"/>
      <c r="Y45" s="5"/>
    </row>
    <row r="46" ht="15.75" customHeight="1">
      <c r="A46" s="5"/>
      <c r="B46" s="5"/>
      <c r="C46" s="5"/>
      <c r="D46" s="5"/>
      <c r="E46" s="5"/>
      <c r="F46" s="5"/>
      <c r="G46" s="112"/>
      <c r="H46" s="112"/>
      <c r="I46" s="112"/>
      <c r="J46" s="112"/>
      <c r="K46" s="112"/>
      <c r="L46" s="5"/>
      <c r="M46" s="5"/>
      <c r="N46" s="5"/>
      <c r="O46" s="5"/>
      <c r="P46" s="5"/>
      <c r="Q46" s="5"/>
      <c r="R46" s="5"/>
      <c r="S46" s="5"/>
      <c r="T46" s="5"/>
      <c r="U46" s="5"/>
      <c r="V46" s="5"/>
      <c r="W46" s="5"/>
      <c r="X46" s="5"/>
      <c r="Y46" s="5"/>
    </row>
    <row r="47" ht="15.75" customHeight="1">
      <c r="A47" s="5"/>
      <c r="B47" s="5"/>
      <c r="C47" s="5"/>
      <c r="D47" s="5"/>
      <c r="E47" s="5"/>
      <c r="F47" s="5"/>
      <c r="G47" s="112"/>
      <c r="H47" s="112"/>
      <c r="I47" s="112"/>
      <c r="J47" s="112"/>
      <c r="K47" s="112"/>
      <c r="L47" s="5"/>
      <c r="M47" s="5"/>
      <c r="N47" s="5"/>
      <c r="O47" s="5"/>
      <c r="P47" s="5"/>
      <c r="Q47" s="5"/>
      <c r="R47" s="5"/>
      <c r="S47" s="5"/>
      <c r="T47" s="5"/>
      <c r="U47" s="5"/>
      <c r="V47" s="5"/>
      <c r="W47" s="5"/>
      <c r="X47" s="5"/>
      <c r="Y47" s="5"/>
    </row>
    <row r="48" ht="15.75" customHeight="1">
      <c r="A48" s="5"/>
      <c r="B48" s="5"/>
      <c r="C48" s="5"/>
      <c r="D48" s="5"/>
      <c r="E48" s="5"/>
      <c r="F48" s="5"/>
      <c r="G48" s="112"/>
      <c r="H48" s="112"/>
      <c r="I48" s="112"/>
      <c r="J48" s="112"/>
      <c r="K48" s="112"/>
      <c r="L48" s="5"/>
      <c r="M48" s="5"/>
      <c r="N48" s="5"/>
      <c r="O48" s="5"/>
      <c r="P48" s="5"/>
      <c r="Q48" s="5"/>
      <c r="R48" s="5"/>
      <c r="S48" s="5"/>
      <c r="T48" s="5"/>
      <c r="U48" s="5"/>
      <c r="V48" s="5"/>
      <c r="W48" s="5"/>
      <c r="X48" s="5"/>
      <c r="Y48" s="5"/>
    </row>
    <row r="49" ht="15.75" customHeight="1">
      <c r="A49" s="5"/>
      <c r="B49" s="5"/>
      <c r="C49" s="5"/>
      <c r="D49" s="5"/>
      <c r="E49" s="5"/>
      <c r="F49" s="5"/>
      <c r="G49" s="112"/>
      <c r="H49" s="112"/>
      <c r="I49" s="112"/>
      <c r="J49" s="112"/>
      <c r="K49" s="112"/>
      <c r="L49" s="5"/>
      <c r="M49" s="5"/>
      <c r="N49" s="5"/>
      <c r="O49" s="5"/>
      <c r="P49" s="5"/>
      <c r="Q49" s="5"/>
      <c r="R49" s="5"/>
      <c r="S49" s="5"/>
      <c r="T49" s="5"/>
      <c r="U49" s="5"/>
      <c r="V49" s="5"/>
      <c r="W49" s="5"/>
      <c r="X49" s="5"/>
      <c r="Y49" s="5"/>
    </row>
    <row r="50" ht="15.75" customHeight="1">
      <c r="A50" s="5"/>
      <c r="B50" s="5"/>
      <c r="C50" s="5"/>
      <c r="D50" s="5"/>
      <c r="E50" s="5"/>
      <c r="F50" s="5"/>
      <c r="G50" s="112"/>
      <c r="H50" s="112"/>
      <c r="I50" s="112"/>
      <c r="J50" s="112"/>
      <c r="K50" s="112"/>
      <c r="L50" s="5"/>
      <c r="M50" s="5"/>
      <c r="N50" s="5"/>
      <c r="O50" s="5"/>
      <c r="P50" s="5"/>
      <c r="Q50" s="5"/>
      <c r="R50" s="5"/>
      <c r="S50" s="5"/>
      <c r="T50" s="5"/>
      <c r="U50" s="5"/>
      <c r="V50" s="5"/>
      <c r="W50" s="5"/>
      <c r="X50" s="5"/>
      <c r="Y50" s="5"/>
    </row>
    <row r="51" ht="15.75" customHeight="1">
      <c r="A51" s="5"/>
      <c r="B51" s="5"/>
      <c r="C51" s="5"/>
      <c r="D51" s="5"/>
      <c r="E51" s="5"/>
      <c r="F51" s="5"/>
      <c r="G51" s="112"/>
      <c r="H51" s="112"/>
      <c r="I51" s="112"/>
      <c r="J51" s="112"/>
      <c r="K51" s="112"/>
      <c r="L51" s="5"/>
      <c r="M51" s="5"/>
      <c r="N51" s="5"/>
      <c r="O51" s="5"/>
      <c r="P51" s="5"/>
      <c r="Q51" s="5"/>
      <c r="R51" s="5"/>
      <c r="S51" s="5"/>
      <c r="T51" s="5"/>
      <c r="U51" s="5"/>
      <c r="V51" s="5"/>
      <c r="W51" s="5"/>
      <c r="X51" s="5"/>
      <c r="Y51" s="5"/>
    </row>
    <row r="52" ht="15.75" customHeight="1">
      <c r="A52" s="5"/>
      <c r="B52" s="5"/>
      <c r="C52" s="5"/>
      <c r="D52" s="5"/>
      <c r="E52" s="5"/>
      <c r="F52" s="5"/>
      <c r="G52" s="112"/>
      <c r="H52" s="112"/>
      <c r="I52" s="112"/>
      <c r="J52" s="112"/>
      <c r="K52" s="112"/>
      <c r="L52" s="5"/>
      <c r="M52" s="5"/>
      <c r="N52" s="5"/>
      <c r="O52" s="5"/>
      <c r="P52" s="5"/>
      <c r="Q52" s="5"/>
      <c r="R52" s="5"/>
      <c r="S52" s="5"/>
      <c r="T52" s="5"/>
      <c r="U52" s="5"/>
      <c r="V52" s="5"/>
      <c r="W52" s="5"/>
      <c r="X52" s="5"/>
      <c r="Y52" s="5"/>
    </row>
    <row r="53" ht="15.75" customHeight="1">
      <c r="A53" s="5"/>
      <c r="B53" s="5"/>
      <c r="C53" s="5"/>
      <c r="D53" s="5"/>
      <c r="E53" s="5"/>
      <c r="F53" s="5"/>
      <c r="G53" s="112"/>
      <c r="H53" s="112"/>
      <c r="I53" s="112"/>
      <c r="J53" s="112"/>
      <c r="K53" s="112"/>
      <c r="L53" s="5"/>
      <c r="M53" s="5"/>
      <c r="N53" s="5"/>
      <c r="O53" s="5"/>
      <c r="P53" s="5"/>
      <c r="Q53" s="5"/>
      <c r="R53" s="5"/>
      <c r="S53" s="5"/>
      <c r="T53" s="5"/>
      <c r="U53" s="5"/>
      <c r="V53" s="5"/>
      <c r="W53" s="5"/>
      <c r="X53" s="5"/>
      <c r="Y53" s="5"/>
    </row>
    <row r="54" ht="15.75" customHeight="1">
      <c r="A54" s="5"/>
      <c r="B54" s="5"/>
      <c r="C54" s="5"/>
      <c r="D54" s="5"/>
      <c r="E54" s="5"/>
      <c r="F54" s="5"/>
      <c r="G54" s="112"/>
      <c r="H54" s="112"/>
      <c r="I54" s="112"/>
      <c r="J54" s="112"/>
      <c r="K54" s="112"/>
      <c r="L54" s="5"/>
      <c r="M54" s="5"/>
      <c r="N54" s="5"/>
      <c r="O54" s="5"/>
      <c r="P54" s="5"/>
      <c r="Q54" s="5"/>
      <c r="R54" s="5"/>
      <c r="S54" s="5"/>
      <c r="T54" s="5"/>
      <c r="U54" s="5"/>
      <c r="V54" s="5"/>
      <c r="W54" s="5"/>
      <c r="X54" s="5"/>
      <c r="Y54" s="5"/>
    </row>
    <row r="55" ht="15.75" customHeight="1">
      <c r="A55" s="5"/>
      <c r="B55" s="5"/>
      <c r="C55" s="5"/>
      <c r="D55" s="5"/>
      <c r="E55" s="5"/>
      <c r="F55" s="5"/>
      <c r="G55" s="112"/>
      <c r="H55" s="112"/>
      <c r="I55" s="112"/>
      <c r="J55" s="112"/>
      <c r="K55" s="112"/>
      <c r="L55" s="5"/>
      <c r="M55" s="5"/>
      <c r="N55" s="5"/>
      <c r="O55" s="5"/>
      <c r="P55" s="5"/>
      <c r="Q55" s="5"/>
      <c r="R55" s="5"/>
      <c r="S55" s="5"/>
      <c r="T55" s="5"/>
      <c r="U55" s="5"/>
      <c r="V55" s="5"/>
      <c r="W55" s="5"/>
      <c r="X55" s="5"/>
      <c r="Y55" s="5"/>
    </row>
    <row r="56" ht="15.75" customHeight="1">
      <c r="A56" s="5"/>
      <c r="B56" s="5"/>
      <c r="C56" s="5"/>
      <c r="D56" s="5"/>
      <c r="E56" s="5"/>
      <c r="F56" s="5"/>
      <c r="G56" s="112"/>
      <c r="H56" s="112"/>
      <c r="I56" s="112"/>
      <c r="J56" s="112"/>
      <c r="K56" s="112"/>
      <c r="L56" s="5"/>
      <c r="M56" s="5"/>
      <c r="N56" s="5"/>
      <c r="O56" s="5"/>
      <c r="P56" s="5"/>
      <c r="Q56" s="5"/>
      <c r="R56" s="5"/>
      <c r="S56" s="5"/>
      <c r="T56" s="5"/>
      <c r="U56" s="5"/>
      <c r="V56" s="5"/>
      <c r="W56" s="5"/>
      <c r="X56" s="5"/>
      <c r="Y56" s="5"/>
    </row>
    <row r="57" ht="15.75" customHeight="1">
      <c r="A57" s="5"/>
      <c r="B57" s="5"/>
      <c r="C57" s="5"/>
      <c r="D57" s="5"/>
      <c r="E57" s="5"/>
      <c r="F57" s="5"/>
      <c r="G57" s="112"/>
      <c r="H57" s="112"/>
      <c r="I57" s="112"/>
      <c r="J57" s="112"/>
      <c r="K57" s="112"/>
      <c r="L57" s="5"/>
      <c r="M57" s="5"/>
      <c r="N57" s="5"/>
      <c r="O57" s="5"/>
      <c r="P57" s="5"/>
      <c r="Q57" s="5"/>
      <c r="R57" s="5"/>
      <c r="S57" s="5"/>
      <c r="T57" s="5"/>
      <c r="U57" s="5"/>
      <c r="V57" s="5"/>
      <c r="W57" s="5"/>
      <c r="X57" s="5"/>
      <c r="Y57" s="5"/>
    </row>
    <row r="58" ht="15.75" customHeight="1">
      <c r="A58" s="5"/>
      <c r="B58" s="5"/>
      <c r="C58" s="5"/>
      <c r="D58" s="5"/>
      <c r="E58" s="5"/>
      <c r="F58" s="5"/>
      <c r="G58" s="112"/>
      <c r="H58" s="112"/>
      <c r="I58" s="112"/>
      <c r="J58" s="112"/>
      <c r="K58" s="112"/>
      <c r="L58" s="5"/>
      <c r="M58" s="5"/>
      <c r="N58" s="5"/>
      <c r="O58" s="5"/>
      <c r="P58" s="5"/>
      <c r="Q58" s="5"/>
      <c r="R58" s="5"/>
      <c r="S58" s="5"/>
      <c r="T58" s="5"/>
      <c r="U58" s="5"/>
      <c r="V58" s="5"/>
      <c r="W58" s="5"/>
      <c r="X58" s="5"/>
      <c r="Y58" s="5"/>
    </row>
    <row r="59" ht="15.75" customHeight="1">
      <c r="A59" s="5"/>
      <c r="B59" s="5"/>
      <c r="C59" s="5"/>
      <c r="D59" s="5"/>
      <c r="E59" s="5"/>
      <c r="F59" s="5"/>
      <c r="G59" s="112"/>
      <c r="H59" s="112"/>
      <c r="I59" s="112"/>
      <c r="J59" s="112"/>
      <c r="K59" s="112"/>
      <c r="L59" s="5"/>
      <c r="M59" s="5"/>
      <c r="N59" s="5"/>
      <c r="O59" s="5"/>
      <c r="P59" s="5"/>
      <c r="Q59" s="5"/>
      <c r="R59" s="5"/>
      <c r="S59" s="5"/>
      <c r="T59" s="5"/>
      <c r="U59" s="5"/>
      <c r="V59" s="5"/>
      <c r="W59" s="5"/>
      <c r="X59" s="5"/>
      <c r="Y59" s="5"/>
    </row>
    <row r="60" ht="15.75" customHeight="1">
      <c r="A60" s="5"/>
      <c r="B60" s="5"/>
      <c r="C60" s="5"/>
      <c r="D60" s="5"/>
      <c r="E60" s="5"/>
      <c r="F60" s="5"/>
      <c r="G60" s="112"/>
      <c r="H60" s="112"/>
      <c r="I60" s="112"/>
      <c r="J60" s="112"/>
      <c r="K60" s="112"/>
      <c r="L60" s="5"/>
      <c r="M60" s="5"/>
      <c r="N60" s="5"/>
      <c r="O60" s="5"/>
      <c r="P60" s="5"/>
      <c r="Q60" s="5"/>
      <c r="R60" s="5"/>
      <c r="S60" s="5"/>
      <c r="T60" s="5"/>
      <c r="U60" s="5"/>
      <c r="V60" s="5"/>
      <c r="W60" s="5"/>
      <c r="X60" s="5"/>
      <c r="Y60" s="5"/>
    </row>
    <row r="61" ht="15.75" customHeight="1">
      <c r="A61" s="5"/>
      <c r="B61" s="5"/>
      <c r="C61" s="5"/>
      <c r="D61" s="5"/>
      <c r="E61" s="5"/>
      <c r="F61" s="5"/>
      <c r="G61" s="112"/>
      <c r="H61" s="112"/>
      <c r="I61" s="112"/>
      <c r="J61" s="112"/>
      <c r="K61" s="112"/>
      <c r="L61" s="5"/>
      <c r="M61" s="5"/>
      <c r="N61" s="5"/>
      <c r="O61" s="5"/>
      <c r="P61" s="5"/>
      <c r="Q61" s="5"/>
      <c r="R61" s="5"/>
      <c r="S61" s="5"/>
      <c r="T61" s="5"/>
      <c r="U61" s="5"/>
      <c r="V61" s="5"/>
      <c r="W61" s="5"/>
      <c r="X61" s="5"/>
      <c r="Y61" s="5"/>
    </row>
    <row r="62" ht="15.75" customHeight="1">
      <c r="A62" s="5"/>
      <c r="B62" s="5"/>
      <c r="C62" s="5"/>
      <c r="D62" s="5"/>
      <c r="E62" s="5"/>
      <c r="F62" s="5"/>
      <c r="G62" s="112"/>
      <c r="H62" s="112"/>
      <c r="I62" s="112"/>
      <c r="J62" s="112"/>
      <c r="K62" s="112"/>
      <c r="L62" s="5"/>
      <c r="M62" s="5"/>
      <c r="N62" s="5"/>
      <c r="O62" s="5"/>
      <c r="P62" s="5"/>
      <c r="Q62" s="5"/>
      <c r="R62" s="5"/>
      <c r="S62" s="5"/>
      <c r="T62" s="5"/>
      <c r="U62" s="5"/>
      <c r="V62" s="5"/>
      <c r="W62" s="5"/>
      <c r="X62" s="5"/>
      <c r="Y62" s="5"/>
    </row>
    <row r="63" ht="15.75" customHeight="1">
      <c r="A63" s="5"/>
      <c r="B63" s="5"/>
      <c r="C63" s="5"/>
      <c r="D63" s="5"/>
      <c r="E63" s="5"/>
      <c r="F63" s="5"/>
      <c r="G63" s="112"/>
      <c r="H63" s="112"/>
      <c r="I63" s="112"/>
      <c r="J63" s="112"/>
      <c r="K63" s="112"/>
      <c r="L63" s="5"/>
      <c r="M63" s="5"/>
      <c r="N63" s="5"/>
      <c r="O63" s="5"/>
      <c r="P63" s="5"/>
      <c r="Q63" s="5"/>
      <c r="R63" s="5"/>
      <c r="S63" s="5"/>
      <c r="T63" s="5"/>
      <c r="U63" s="5"/>
      <c r="V63" s="5"/>
      <c r="W63" s="5"/>
      <c r="X63" s="5"/>
      <c r="Y63" s="5"/>
    </row>
    <row r="64" ht="15.75" customHeight="1">
      <c r="A64" s="5"/>
      <c r="B64" s="5"/>
      <c r="C64" s="5"/>
      <c r="D64" s="5"/>
      <c r="E64" s="5"/>
      <c r="F64" s="5"/>
      <c r="G64" s="112"/>
      <c r="H64" s="112"/>
      <c r="I64" s="112"/>
      <c r="J64" s="112"/>
      <c r="K64" s="112"/>
      <c r="L64" s="5"/>
      <c r="M64" s="5"/>
      <c r="N64" s="5"/>
      <c r="O64" s="5"/>
      <c r="P64" s="5"/>
      <c r="Q64" s="5"/>
      <c r="R64" s="5"/>
      <c r="S64" s="5"/>
      <c r="T64" s="5"/>
      <c r="U64" s="5"/>
      <c r="V64" s="5"/>
      <c r="W64" s="5"/>
      <c r="X64" s="5"/>
      <c r="Y64" s="5"/>
    </row>
    <row r="65" ht="15.75" customHeight="1">
      <c r="A65" s="5"/>
      <c r="B65" s="5"/>
      <c r="C65" s="5"/>
      <c r="D65" s="5"/>
      <c r="E65" s="5"/>
      <c r="F65" s="5"/>
      <c r="G65" s="112"/>
      <c r="H65" s="112"/>
      <c r="I65" s="112"/>
      <c r="J65" s="112"/>
      <c r="K65" s="112"/>
      <c r="L65" s="5"/>
      <c r="M65" s="5"/>
      <c r="N65" s="5"/>
      <c r="O65" s="5"/>
      <c r="P65" s="5"/>
      <c r="Q65" s="5"/>
      <c r="R65" s="5"/>
      <c r="S65" s="5"/>
      <c r="T65" s="5"/>
      <c r="U65" s="5"/>
      <c r="V65" s="5"/>
      <c r="W65" s="5"/>
      <c r="X65" s="5"/>
      <c r="Y65" s="5"/>
    </row>
    <row r="66" ht="15.75" customHeight="1">
      <c r="A66" s="5"/>
      <c r="B66" s="5"/>
      <c r="C66" s="5"/>
      <c r="D66" s="5"/>
      <c r="E66" s="5"/>
      <c r="F66" s="5"/>
      <c r="G66" s="112"/>
      <c r="H66" s="112"/>
      <c r="I66" s="112"/>
      <c r="J66" s="112"/>
      <c r="K66" s="112"/>
      <c r="L66" s="5"/>
      <c r="M66" s="5"/>
      <c r="N66" s="5"/>
      <c r="O66" s="5"/>
      <c r="P66" s="5"/>
      <c r="Q66" s="5"/>
      <c r="R66" s="5"/>
      <c r="S66" s="5"/>
      <c r="T66" s="5"/>
      <c r="U66" s="5"/>
      <c r="V66" s="5"/>
      <c r="W66" s="5"/>
      <c r="X66" s="5"/>
      <c r="Y66" s="5"/>
    </row>
    <row r="67" ht="15.75" customHeight="1">
      <c r="A67" s="5"/>
      <c r="B67" s="5"/>
      <c r="C67" s="5"/>
      <c r="D67" s="5"/>
      <c r="E67" s="5"/>
      <c r="F67" s="5"/>
      <c r="G67" s="112"/>
      <c r="H67" s="112"/>
      <c r="I67" s="112"/>
      <c r="J67" s="112"/>
      <c r="K67" s="112"/>
      <c r="L67" s="5"/>
      <c r="M67" s="5"/>
      <c r="N67" s="5"/>
      <c r="O67" s="5"/>
      <c r="P67" s="5"/>
      <c r="Q67" s="5"/>
      <c r="R67" s="5"/>
      <c r="S67" s="5"/>
      <c r="T67" s="5"/>
      <c r="U67" s="5"/>
      <c r="V67" s="5"/>
      <c r="W67" s="5"/>
      <c r="X67" s="5"/>
      <c r="Y67" s="5"/>
    </row>
    <row r="68" ht="15.75" customHeight="1">
      <c r="A68" s="5"/>
      <c r="B68" s="5"/>
      <c r="C68" s="5"/>
      <c r="D68" s="5"/>
      <c r="E68" s="5"/>
      <c r="F68" s="5"/>
      <c r="G68" s="112"/>
      <c r="H68" s="112"/>
      <c r="I68" s="112"/>
      <c r="J68" s="112"/>
      <c r="K68" s="112"/>
      <c r="L68" s="5"/>
      <c r="M68" s="5"/>
      <c r="N68" s="5"/>
      <c r="O68" s="5"/>
      <c r="P68" s="5"/>
      <c r="Q68" s="5"/>
      <c r="R68" s="5"/>
      <c r="S68" s="5"/>
      <c r="T68" s="5"/>
      <c r="U68" s="5"/>
      <c r="V68" s="5"/>
      <c r="W68" s="5"/>
      <c r="X68" s="5"/>
      <c r="Y68" s="5"/>
    </row>
    <row r="69" ht="15.75" customHeight="1">
      <c r="A69" s="5"/>
      <c r="B69" s="5"/>
      <c r="C69" s="5"/>
      <c r="D69" s="5"/>
      <c r="E69" s="5"/>
      <c r="F69" s="5"/>
      <c r="G69" s="112"/>
      <c r="H69" s="112"/>
      <c r="I69" s="112"/>
      <c r="J69" s="112"/>
      <c r="K69" s="112"/>
      <c r="L69" s="5"/>
      <c r="M69" s="5"/>
      <c r="N69" s="5"/>
      <c r="O69" s="5"/>
      <c r="P69" s="5"/>
      <c r="Q69" s="5"/>
      <c r="R69" s="5"/>
      <c r="S69" s="5"/>
      <c r="T69" s="5"/>
      <c r="U69" s="5"/>
      <c r="V69" s="5"/>
      <c r="W69" s="5"/>
      <c r="X69" s="5"/>
      <c r="Y69" s="5"/>
    </row>
    <row r="70" ht="15.75" customHeight="1">
      <c r="A70" s="5"/>
      <c r="B70" s="5"/>
      <c r="C70" s="5"/>
      <c r="D70" s="5"/>
      <c r="E70" s="5"/>
      <c r="F70" s="5"/>
      <c r="G70" s="112"/>
      <c r="H70" s="112"/>
      <c r="I70" s="112"/>
      <c r="J70" s="112"/>
      <c r="K70" s="112"/>
      <c r="L70" s="5"/>
      <c r="M70" s="5"/>
      <c r="N70" s="5"/>
      <c r="O70" s="5"/>
      <c r="P70" s="5"/>
      <c r="Q70" s="5"/>
      <c r="R70" s="5"/>
      <c r="S70" s="5"/>
      <c r="T70" s="5"/>
      <c r="U70" s="5"/>
      <c r="V70" s="5"/>
      <c r="W70" s="5"/>
      <c r="X70" s="5"/>
      <c r="Y70" s="5"/>
    </row>
    <row r="71" ht="15.75" customHeight="1">
      <c r="A71" s="5"/>
      <c r="B71" s="5"/>
      <c r="C71" s="5"/>
      <c r="D71" s="5"/>
      <c r="E71" s="5"/>
      <c r="F71" s="5"/>
      <c r="G71" s="112"/>
      <c r="H71" s="112"/>
      <c r="I71" s="112"/>
      <c r="J71" s="112"/>
      <c r="K71" s="112"/>
      <c r="L71" s="5"/>
      <c r="M71" s="5"/>
      <c r="N71" s="5"/>
      <c r="O71" s="5"/>
      <c r="P71" s="5"/>
      <c r="Q71" s="5"/>
      <c r="R71" s="5"/>
      <c r="S71" s="5"/>
      <c r="T71" s="5"/>
      <c r="U71" s="5"/>
      <c r="V71" s="5"/>
      <c r="W71" s="5"/>
      <c r="X71" s="5"/>
      <c r="Y71" s="5"/>
    </row>
    <row r="72" ht="15.75" customHeight="1">
      <c r="A72" s="5"/>
      <c r="B72" s="5"/>
      <c r="C72" s="5"/>
      <c r="D72" s="5"/>
      <c r="E72" s="5"/>
      <c r="F72" s="5"/>
      <c r="G72" s="112"/>
      <c r="H72" s="112"/>
      <c r="I72" s="112"/>
      <c r="J72" s="112"/>
      <c r="K72" s="112"/>
      <c r="L72" s="5"/>
      <c r="M72" s="5"/>
      <c r="N72" s="5"/>
      <c r="O72" s="5"/>
      <c r="P72" s="5"/>
      <c r="Q72" s="5"/>
      <c r="R72" s="5"/>
      <c r="S72" s="5"/>
      <c r="T72" s="5"/>
      <c r="U72" s="5"/>
      <c r="V72" s="5"/>
      <c r="W72" s="5"/>
      <c r="X72" s="5"/>
      <c r="Y72" s="5"/>
    </row>
    <row r="73" ht="15.75" customHeight="1">
      <c r="A73" s="5"/>
      <c r="B73" s="5"/>
      <c r="C73" s="5"/>
      <c r="D73" s="5"/>
      <c r="E73" s="5"/>
      <c r="F73" s="5"/>
      <c r="G73" s="112"/>
      <c r="H73" s="112"/>
      <c r="I73" s="112"/>
      <c r="J73" s="112"/>
      <c r="K73" s="112"/>
      <c r="L73" s="5"/>
      <c r="M73" s="5"/>
      <c r="N73" s="5"/>
      <c r="O73" s="5"/>
      <c r="P73" s="5"/>
      <c r="Q73" s="5"/>
      <c r="R73" s="5"/>
      <c r="S73" s="5"/>
      <c r="T73" s="5"/>
      <c r="U73" s="5"/>
      <c r="V73" s="5"/>
      <c r="W73" s="5"/>
      <c r="X73" s="5"/>
      <c r="Y73" s="5"/>
    </row>
    <row r="74" ht="15.75" customHeight="1">
      <c r="A74" s="5"/>
      <c r="B74" s="5"/>
      <c r="C74" s="5"/>
      <c r="D74" s="5"/>
      <c r="E74" s="5"/>
      <c r="F74" s="5"/>
      <c r="G74" s="112"/>
      <c r="H74" s="112"/>
      <c r="I74" s="112"/>
      <c r="J74" s="112"/>
      <c r="K74" s="112"/>
      <c r="L74" s="5"/>
      <c r="M74" s="5"/>
      <c r="N74" s="5"/>
      <c r="O74" s="5"/>
      <c r="P74" s="5"/>
      <c r="Q74" s="5"/>
      <c r="R74" s="5"/>
      <c r="S74" s="5"/>
      <c r="T74" s="5"/>
      <c r="U74" s="5"/>
      <c r="V74" s="5"/>
      <c r="W74" s="5"/>
      <c r="X74" s="5"/>
      <c r="Y74" s="5"/>
    </row>
    <row r="75" ht="15.75" customHeight="1">
      <c r="A75" s="5"/>
      <c r="B75" s="5"/>
      <c r="C75" s="5"/>
      <c r="D75" s="5"/>
      <c r="E75" s="5"/>
      <c r="F75" s="5"/>
      <c r="G75" s="112"/>
      <c r="H75" s="112"/>
      <c r="I75" s="112"/>
      <c r="J75" s="112"/>
      <c r="K75" s="112"/>
      <c r="L75" s="5"/>
      <c r="M75" s="5"/>
      <c r="N75" s="5"/>
      <c r="O75" s="5"/>
      <c r="P75" s="5"/>
      <c r="Q75" s="5"/>
      <c r="R75" s="5"/>
      <c r="S75" s="5"/>
      <c r="T75" s="5"/>
      <c r="U75" s="5"/>
      <c r="V75" s="5"/>
      <c r="W75" s="5"/>
      <c r="X75" s="5"/>
      <c r="Y75" s="5"/>
    </row>
    <row r="76" ht="15.75" customHeight="1">
      <c r="A76" s="5"/>
      <c r="B76" s="5"/>
      <c r="C76" s="5"/>
      <c r="D76" s="5"/>
      <c r="E76" s="5"/>
      <c r="F76" s="5"/>
      <c r="G76" s="112"/>
      <c r="H76" s="112"/>
      <c r="I76" s="112"/>
      <c r="J76" s="112"/>
      <c r="K76" s="112"/>
      <c r="L76" s="5"/>
      <c r="M76" s="5"/>
      <c r="N76" s="5"/>
      <c r="O76" s="5"/>
      <c r="P76" s="5"/>
      <c r="Q76" s="5"/>
      <c r="R76" s="5"/>
      <c r="S76" s="5"/>
      <c r="T76" s="5"/>
      <c r="U76" s="5"/>
      <c r="V76" s="5"/>
      <c r="W76" s="5"/>
      <c r="X76" s="5"/>
      <c r="Y76" s="5"/>
    </row>
    <row r="77" ht="15.75" customHeight="1">
      <c r="A77" s="5"/>
      <c r="B77" s="5"/>
      <c r="C77" s="5"/>
      <c r="D77" s="5"/>
      <c r="E77" s="5"/>
      <c r="F77" s="5"/>
      <c r="G77" s="112"/>
      <c r="H77" s="112"/>
      <c r="I77" s="112"/>
      <c r="J77" s="112"/>
      <c r="K77" s="112"/>
      <c r="L77" s="5"/>
      <c r="M77" s="5"/>
      <c r="N77" s="5"/>
      <c r="O77" s="5"/>
      <c r="P77" s="5"/>
      <c r="Q77" s="5"/>
      <c r="R77" s="5"/>
      <c r="S77" s="5"/>
      <c r="T77" s="5"/>
      <c r="U77" s="5"/>
      <c r="V77" s="5"/>
      <c r="W77" s="5"/>
      <c r="X77" s="5"/>
      <c r="Y77" s="5"/>
    </row>
    <row r="78" ht="15.75" customHeight="1">
      <c r="A78" s="5"/>
      <c r="B78" s="5"/>
      <c r="C78" s="5"/>
      <c r="D78" s="5"/>
      <c r="E78" s="5"/>
      <c r="F78" s="5"/>
      <c r="G78" s="112"/>
      <c r="H78" s="112"/>
      <c r="I78" s="112"/>
      <c r="J78" s="112"/>
      <c r="K78" s="112"/>
      <c r="L78" s="5"/>
      <c r="M78" s="5"/>
      <c r="N78" s="5"/>
      <c r="O78" s="5"/>
      <c r="P78" s="5"/>
      <c r="Q78" s="5"/>
      <c r="R78" s="5"/>
      <c r="S78" s="5"/>
      <c r="T78" s="5"/>
      <c r="U78" s="5"/>
      <c r="V78" s="5"/>
      <c r="W78" s="5"/>
      <c r="X78" s="5"/>
      <c r="Y78" s="5"/>
    </row>
    <row r="79" ht="15.75" customHeight="1">
      <c r="A79" s="5"/>
      <c r="B79" s="5"/>
      <c r="C79" s="5"/>
      <c r="D79" s="5"/>
      <c r="E79" s="5"/>
      <c r="F79" s="5"/>
      <c r="G79" s="112"/>
      <c r="H79" s="112"/>
      <c r="I79" s="112"/>
      <c r="J79" s="112"/>
      <c r="K79" s="112"/>
      <c r="L79" s="5"/>
      <c r="M79" s="5"/>
      <c r="N79" s="5"/>
      <c r="O79" s="5"/>
      <c r="P79" s="5"/>
      <c r="Q79" s="5"/>
      <c r="R79" s="5"/>
      <c r="S79" s="5"/>
      <c r="T79" s="5"/>
      <c r="U79" s="5"/>
      <c r="V79" s="5"/>
      <c r="W79" s="5"/>
      <c r="X79" s="5"/>
      <c r="Y79" s="5"/>
    </row>
    <row r="80" ht="15.75" customHeight="1">
      <c r="A80" s="5"/>
      <c r="B80" s="5"/>
      <c r="C80" s="5"/>
      <c r="D80" s="5"/>
      <c r="E80" s="5"/>
      <c r="F80" s="5"/>
      <c r="G80" s="112"/>
      <c r="H80" s="112"/>
      <c r="I80" s="112"/>
      <c r="J80" s="112"/>
      <c r="K80" s="112"/>
      <c r="L80" s="5"/>
      <c r="M80" s="5"/>
      <c r="N80" s="5"/>
      <c r="O80" s="5"/>
      <c r="P80" s="5"/>
      <c r="Q80" s="5"/>
      <c r="R80" s="5"/>
      <c r="S80" s="5"/>
      <c r="T80" s="5"/>
      <c r="U80" s="5"/>
      <c r="V80" s="5"/>
      <c r="W80" s="5"/>
      <c r="X80" s="5"/>
      <c r="Y80" s="5"/>
    </row>
    <row r="81" ht="15.75" customHeight="1">
      <c r="A81" s="5"/>
      <c r="B81" s="5"/>
      <c r="C81" s="5"/>
      <c r="D81" s="5"/>
      <c r="E81" s="5"/>
      <c r="F81" s="5"/>
      <c r="G81" s="112"/>
      <c r="H81" s="112"/>
      <c r="I81" s="112"/>
      <c r="J81" s="112"/>
      <c r="K81" s="112"/>
      <c r="L81" s="5"/>
      <c r="M81" s="5"/>
      <c r="N81" s="5"/>
      <c r="O81" s="5"/>
      <c r="P81" s="5"/>
      <c r="Q81" s="5"/>
      <c r="R81" s="5"/>
      <c r="S81" s="5"/>
      <c r="T81" s="5"/>
      <c r="U81" s="5"/>
      <c r="V81" s="5"/>
      <c r="W81" s="5"/>
      <c r="X81" s="5"/>
      <c r="Y81" s="5"/>
    </row>
    <row r="82" ht="15.75" customHeight="1">
      <c r="A82" s="5"/>
      <c r="B82" s="5"/>
      <c r="C82" s="5"/>
      <c r="D82" s="5"/>
      <c r="E82" s="5"/>
      <c r="F82" s="5"/>
      <c r="G82" s="112"/>
      <c r="H82" s="112"/>
      <c r="I82" s="112"/>
      <c r="J82" s="112"/>
      <c r="K82" s="112"/>
      <c r="L82" s="5"/>
      <c r="M82" s="5"/>
      <c r="N82" s="5"/>
      <c r="O82" s="5"/>
      <c r="P82" s="5"/>
      <c r="Q82" s="5"/>
      <c r="R82" s="5"/>
      <c r="S82" s="5"/>
      <c r="T82" s="5"/>
      <c r="U82" s="5"/>
      <c r="V82" s="5"/>
      <c r="W82" s="5"/>
      <c r="X82" s="5"/>
      <c r="Y82" s="5"/>
    </row>
    <row r="83" ht="15.75" customHeight="1">
      <c r="A83" s="5"/>
      <c r="B83" s="5"/>
      <c r="C83" s="5"/>
      <c r="D83" s="5"/>
      <c r="E83" s="5"/>
      <c r="F83" s="5"/>
      <c r="G83" s="112"/>
      <c r="H83" s="112"/>
      <c r="I83" s="112"/>
      <c r="J83" s="112"/>
      <c r="K83" s="112"/>
      <c r="L83" s="5"/>
      <c r="M83" s="5"/>
      <c r="N83" s="5"/>
      <c r="O83" s="5"/>
      <c r="P83" s="5"/>
      <c r="Q83" s="5"/>
      <c r="R83" s="5"/>
      <c r="S83" s="5"/>
      <c r="T83" s="5"/>
      <c r="U83" s="5"/>
      <c r="V83" s="5"/>
      <c r="W83" s="5"/>
      <c r="X83" s="5"/>
      <c r="Y83" s="5"/>
    </row>
    <row r="84" ht="15.75" customHeight="1">
      <c r="A84" s="5"/>
      <c r="B84" s="5"/>
      <c r="C84" s="5"/>
      <c r="D84" s="5"/>
      <c r="E84" s="5"/>
      <c r="F84" s="5"/>
      <c r="G84" s="112"/>
      <c r="H84" s="112"/>
      <c r="I84" s="112"/>
      <c r="J84" s="112"/>
      <c r="K84" s="112"/>
      <c r="L84" s="5"/>
      <c r="M84" s="5"/>
      <c r="N84" s="5"/>
      <c r="O84" s="5"/>
      <c r="P84" s="5"/>
      <c r="Q84" s="5"/>
      <c r="R84" s="5"/>
      <c r="S84" s="5"/>
      <c r="T84" s="5"/>
      <c r="U84" s="5"/>
      <c r="V84" s="5"/>
      <c r="W84" s="5"/>
      <c r="X84" s="5"/>
      <c r="Y84" s="5"/>
    </row>
    <row r="85" ht="15.75" customHeight="1">
      <c r="A85" s="5"/>
      <c r="B85" s="5"/>
      <c r="C85" s="5"/>
      <c r="D85" s="5"/>
      <c r="E85" s="5"/>
      <c r="F85" s="5"/>
      <c r="G85" s="112"/>
      <c r="H85" s="112"/>
      <c r="I85" s="112"/>
      <c r="J85" s="112"/>
      <c r="K85" s="112"/>
      <c r="L85" s="5"/>
      <c r="M85" s="5"/>
      <c r="N85" s="5"/>
      <c r="O85" s="5"/>
      <c r="P85" s="5"/>
      <c r="Q85" s="5"/>
      <c r="R85" s="5"/>
      <c r="S85" s="5"/>
      <c r="T85" s="5"/>
      <c r="U85" s="5"/>
      <c r="V85" s="5"/>
      <c r="W85" s="5"/>
      <c r="X85" s="5"/>
      <c r="Y85" s="5"/>
    </row>
    <row r="86" ht="15.75" customHeight="1">
      <c r="A86" s="5"/>
      <c r="B86" s="5"/>
      <c r="C86" s="5"/>
      <c r="D86" s="5"/>
      <c r="E86" s="5"/>
      <c r="F86" s="5"/>
      <c r="G86" s="112"/>
      <c r="H86" s="112"/>
      <c r="I86" s="112"/>
      <c r="J86" s="112"/>
      <c r="K86" s="112"/>
      <c r="L86" s="5"/>
      <c r="M86" s="5"/>
      <c r="N86" s="5"/>
      <c r="O86" s="5"/>
      <c r="P86" s="5"/>
      <c r="Q86" s="5"/>
      <c r="R86" s="5"/>
      <c r="S86" s="5"/>
      <c r="T86" s="5"/>
      <c r="U86" s="5"/>
      <c r="V86" s="5"/>
      <c r="W86" s="5"/>
      <c r="X86" s="5"/>
      <c r="Y86" s="5"/>
    </row>
    <row r="87" ht="15.75" customHeight="1">
      <c r="A87" s="5"/>
      <c r="B87" s="5"/>
      <c r="C87" s="5"/>
      <c r="D87" s="5"/>
      <c r="E87" s="5"/>
      <c r="F87" s="5"/>
      <c r="G87" s="112"/>
      <c r="H87" s="112"/>
      <c r="I87" s="112"/>
      <c r="J87" s="112"/>
      <c r="K87" s="112"/>
      <c r="L87" s="5"/>
      <c r="M87" s="5"/>
      <c r="N87" s="5"/>
      <c r="O87" s="5"/>
      <c r="P87" s="5"/>
      <c r="Q87" s="5"/>
      <c r="R87" s="5"/>
      <c r="S87" s="5"/>
      <c r="T87" s="5"/>
      <c r="U87" s="5"/>
      <c r="V87" s="5"/>
      <c r="W87" s="5"/>
      <c r="X87" s="5"/>
      <c r="Y87" s="5"/>
    </row>
    <row r="88" ht="15.75" customHeight="1">
      <c r="A88" s="5"/>
      <c r="B88" s="5"/>
      <c r="C88" s="5"/>
      <c r="D88" s="5"/>
      <c r="E88" s="5"/>
      <c r="F88" s="5"/>
      <c r="G88" s="112"/>
      <c r="H88" s="112"/>
      <c r="I88" s="112"/>
      <c r="J88" s="112"/>
      <c r="K88" s="112"/>
      <c r="L88" s="5"/>
      <c r="M88" s="5"/>
      <c r="N88" s="5"/>
      <c r="O88" s="5"/>
      <c r="P88" s="5"/>
      <c r="Q88" s="5"/>
      <c r="R88" s="5"/>
      <c r="S88" s="5"/>
      <c r="T88" s="5"/>
      <c r="U88" s="5"/>
      <c r="V88" s="5"/>
      <c r="W88" s="5"/>
      <c r="X88" s="5"/>
      <c r="Y88" s="5"/>
    </row>
    <row r="89" ht="15.75" customHeight="1">
      <c r="A89" s="5"/>
      <c r="B89" s="5"/>
      <c r="C89" s="5"/>
      <c r="D89" s="5"/>
      <c r="E89" s="5"/>
      <c r="F89" s="5"/>
      <c r="G89" s="112"/>
      <c r="H89" s="112"/>
      <c r="I89" s="112"/>
      <c r="J89" s="112"/>
      <c r="K89" s="112"/>
      <c r="L89" s="5"/>
      <c r="M89" s="5"/>
      <c r="N89" s="5"/>
      <c r="O89" s="5"/>
      <c r="P89" s="5"/>
      <c r="Q89" s="5"/>
      <c r="R89" s="5"/>
      <c r="S89" s="5"/>
      <c r="T89" s="5"/>
      <c r="U89" s="5"/>
      <c r="V89" s="5"/>
      <c r="W89" s="5"/>
      <c r="X89" s="5"/>
      <c r="Y89" s="5"/>
    </row>
    <row r="90" ht="15.75" customHeight="1">
      <c r="A90" s="5"/>
      <c r="B90" s="5"/>
      <c r="C90" s="5"/>
      <c r="D90" s="5"/>
      <c r="E90" s="5"/>
      <c r="F90" s="5"/>
      <c r="G90" s="112"/>
      <c r="H90" s="112"/>
      <c r="I90" s="112"/>
      <c r="J90" s="112"/>
      <c r="K90" s="112"/>
      <c r="L90" s="5"/>
      <c r="M90" s="5"/>
      <c r="N90" s="5"/>
      <c r="O90" s="5"/>
      <c r="P90" s="5"/>
      <c r="Q90" s="5"/>
      <c r="R90" s="5"/>
      <c r="S90" s="5"/>
      <c r="T90" s="5"/>
      <c r="U90" s="5"/>
      <c r="V90" s="5"/>
      <c r="W90" s="5"/>
      <c r="X90" s="5"/>
      <c r="Y90" s="5"/>
    </row>
    <row r="91" ht="15.75" customHeight="1">
      <c r="A91" s="5"/>
      <c r="B91" s="5"/>
      <c r="C91" s="5"/>
      <c r="D91" s="5"/>
      <c r="E91" s="5"/>
      <c r="F91" s="5"/>
      <c r="G91" s="112"/>
      <c r="H91" s="112"/>
      <c r="I91" s="112"/>
      <c r="J91" s="112"/>
      <c r="K91" s="112"/>
      <c r="L91" s="5"/>
      <c r="M91" s="5"/>
      <c r="N91" s="5"/>
      <c r="O91" s="5"/>
      <c r="P91" s="5"/>
      <c r="Q91" s="5"/>
      <c r="R91" s="5"/>
      <c r="S91" s="5"/>
      <c r="T91" s="5"/>
      <c r="U91" s="5"/>
      <c r="V91" s="5"/>
      <c r="W91" s="5"/>
      <c r="X91" s="5"/>
      <c r="Y91" s="5"/>
    </row>
    <row r="92" ht="15.75" customHeight="1">
      <c r="A92" s="5"/>
      <c r="B92" s="5"/>
      <c r="C92" s="5"/>
      <c r="D92" s="5"/>
      <c r="E92" s="5"/>
      <c r="F92" s="5"/>
      <c r="G92" s="112"/>
      <c r="H92" s="112"/>
      <c r="I92" s="112"/>
      <c r="J92" s="112"/>
      <c r="K92" s="112"/>
      <c r="L92" s="5"/>
      <c r="M92" s="5"/>
      <c r="N92" s="5"/>
      <c r="O92" s="5"/>
      <c r="P92" s="5"/>
      <c r="Q92" s="5"/>
      <c r="R92" s="5"/>
      <c r="S92" s="5"/>
      <c r="T92" s="5"/>
      <c r="U92" s="5"/>
      <c r="V92" s="5"/>
      <c r="W92" s="5"/>
      <c r="X92" s="5"/>
      <c r="Y92" s="5"/>
    </row>
    <row r="93" ht="15.75" customHeight="1">
      <c r="A93" s="5"/>
      <c r="B93" s="5"/>
      <c r="C93" s="5"/>
      <c r="D93" s="5"/>
      <c r="E93" s="5"/>
      <c r="F93" s="5"/>
      <c r="G93" s="112"/>
      <c r="H93" s="112"/>
      <c r="I93" s="112"/>
      <c r="J93" s="112"/>
      <c r="K93" s="112"/>
      <c r="L93" s="5"/>
      <c r="M93" s="5"/>
      <c r="N93" s="5"/>
      <c r="O93" s="5"/>
      <c r="P93" s="5"/>
      <c r="Q93" s="5"/>
      <c r="R93" s="5"/>
      <c r="S93" s="5"/>
      <c r="T93" s="5"/>
      <c r="U93" s="5"/>
      <c r="V93" s="5"/>
      <c r="W93" s="5"/>
      <c r="X93" s="5"/>
      <c r="Y93" s="5"/>
    </row>
    <row r="94" ht="15.75" customHeight="1">
      <c r="A94" s="5"/>
      <c r="B94" s="5"/>
      <c r="C94" s="5"/>
      <c r="D94" s="5"/>
      <c r="E94" s="5"/>
      <c r="F94" s="5"/>
      <c r="G94" s="112"/>
      <c r="H94" s="112"/>
      <c r="I94" s="112"/>
      <c r="J94" s="112"/>
      <c r="K94" s="112"/>
      <c r="L94" s="5"/>
      <c r="M94" s="5"/>
      <c r="N94" s="5"/>
      <c r="O94" s="5"/>
      <c r="P94" s="5"/>
      <c r="Q94" s="5"/>
      <c r="R94" s="5"/>
      <c r="S94" s="5"/>
      <c r="T94" s="5"/>
      <c r="U94" s="5"/>
      <c r="V94" s="5"/>
      <c r="W94" s="5"/>
      <c r="X94" s="5"/>
      <c r="Y94" s="5"/>
    </row>
    <row r="95" ht="15.75" customHeight="1">
      <c r="A95" s="5"/>
      <c r="B95" s="5"/>
      <c r="C95" s="5"/>
      <c r="D95" s="5"/>
      <c r="E95" s="5"/>
      <c r="F95" s="5"/>
      <c r="G95" s="112"/>
      <c r="H95" s="112"/>
      <c r="I95" s="112"/>
      <c r="J95" s="112"/>
      <c r="K95" s="112"/>
      <c r="L95" s="5"/>
      <c r="M95" s="5"/>
      <c r="N95" s="5"/>
      <c r="O95" s="5"/>
      <c r="P95" s="5"/>
      <c r="Q95" s="5"/>
      <c r="R95" s="5"/>
      <c r="S95" s="5"/>
      <c r="T95" s="5"/>
      <c r="U95" s="5"/>
      <c r="V95" s="5"/>
      <c r="W95" s="5"/>
      <c r="X95" s="5"/>
      <c r="Y95" s="5"/>
    </row>
    <row r="96" ht="15.75" customHeight="1">
      <c r="A96" s="5"/>
      <c r="B96" s="5"/>
      <c r="C96" s="5"/>
      <c r="D96" s="5"/>
      <c r="E96" s="5"/>
      <c r="F96" s="5"/>
      <c r="G96" s="112"/>
      <c r="H96" s="112"/>
      <c r="I96" s="112"/>
      <c r="J96" s="112"/>
      <c r="K96" s="112"/>
      <c r="L96" s="5"/>
      <c r="M96" s="5"/>
      <c r="N96" s="5"/>
      <c r="O96" s="5"/>
      <c r="P96" s="5"/>
      <c r="Q96" s="5"/>
      <c r="R96" s="5"/>
      <c r="S96" s="5"/>
      <c r="T96" s="5"/>
      <c r="U96" s="5"/>
      <c r="V96" s="5"/>
      <c r="W96" s="5"/>
      <c r="X96" s="5"/>
      <c r="Y96" s="5"/>
    </row>
    <row r="97" ht="15.75" customHeight="1">
      <c r="A97" s="5"/>
      <c r="B97" s="5"/>
      <c r="C97" s="5"/>
      <c r="D97" s="5"/>
      <c r="E97" s="5"/>
      <c r="F97" s="5"/>
      <c r="G97" s="112"/>
      <c r="H97" s="112"/>
      <c r="I97" s="112"/>
      <c r="J97" s="112"/>
      <c r="K97" s="112"/>
      <c r="L97" s="5"/>
      <c r="M97" s="5"/>
      <c r="N97" s="5"/>
      <c r="O97" s="5"/>
      <c r="P97" s="5"/>
      <c r="Q97" s="5"/>
      <c r="R97" s="5"/>
      <c r="S97" s="5"/>
      <c r="T97" s="5"/>
      <c r="U97" s="5"/>
      <c r="V97" s="5"/>
      <c r="W97" s="5"/>
      <c r="X97" s="5"/>
      <c r="Y97" s="5"/>
    </row>
    <row r="98" ht="15.75" customHeight="1">
      <c r="A98" s="5"/>
      <c r="B98" s="5"/>
      <c r="C98" s="5"/>
      <c r="D98" s="5"/>
      <c r="E98" s="5"/>
      <c r="F98" s="5"/>
      <c r="G98" s="112"/>
      <c r="H98" s="112"/>
      <c r="I98" s="112"/>
      <c r="J98" s="112"/>
      <c r="K98" s="112"/>
      <c r="L98" s="5"/>
      <c r="M98" s="5"/>
      <c r="N98" s="5"/>
      <c r="O98" s="5"/>
      <c r="P98" s="5"/>
      <c r="Q98" s="5"/>
      <c r="R98" s="5"/>
      <c r="S98" s="5"/>
      <c r="T98" s="5"/>
      <c r="U98" s="5"/>
      <c r="V98" s="5"/>
      <c r="W98" s="5"/>
      <c r="X98" s="5"/>
      <c r="Y98" s="5"/>
    </row>
    <row r="99" ht="15.75" customHeight="1">
      <c r="A99" s="5"/>
      <c r="B99" s="5"/>
      <c r="C99" s="5"/>
      <c r="D99" s="5"/>
      <c r="E99" s="5"/>
      <c r="F99" s="5"/>
      <c r="G99" s="112"/>
      <c r="H99" s="112"/>
      <c r="I99" s="112"/>
      <c r="J99" s="112"/>
      <c r="K99" s="112"/>
      <c r="L99" s="5"/>
      <c r="M99" s="5"/>
      <c r="N99" s="5"/>
      <c r="O99" s="5"/>
      <c r="P99" s="5"/>
      <c r="Q99" s="5"/>
      <c r="R99" s="5"/>
      <c r="S99" s="5"/>
      <c r="T99" s="5"/>
      <c r="U99" s="5"/>
      <c r="V99" s="5"/>
      <c r="W99" s="5"/>
      <c r="X99" s="5"/>
      <c r="Y99" s="5"/>
    </row>
    <row r="100" ht="15.75" customHeight="1">
      <c r="A100" s="5"/>
      <c r="B100" s="5"/>
      <c r="C100" s="5"/>
      <c r="D100" s="5"/>
      <c r="E100" s="5"/>
      <c r="F100" s="5"/>
      <c r="G100" s="112"/>
      <c r="H100" s="112"/>
      <c r="I100" s="112"/>
      <c r="J100" s="112"/>
      <c r="K100" s="112"/>
      <c r="L100" s="5"/>
      <c r="M100" s="5"/>
      <c r="N100" s="5"/>
      <c r="O100" s="5"/>
      <c r="P100" s="5"/>
      <c r="Q100" s="5"/>
      <c r="R100" s="5"/>
      <c r="S100" s="5"/>
      <c r="T100" s="5"/>
      <c r="U100" s="5"/>
      <c r="V100" s="5"/>
      <c r="W100" s="5"/>
      <c r="X100" s="5"/>
      <c r="Y100" s="5"/>
    </row>
    <row r="101" ht="15.75" customHeight="1">
      <c r="A101" s="5"/>
      <c r="B101" s="5"/>
      <c r="C101" s="5"/>
      <c r="D101" s="5"/>
      <c r="E101" s="5"/>
      <c r="F101" s="5"/>
      <c r="G101" s="112"/>
      <c r="H101" s="112"/>
      <c r="I101" s="112"/>
      <c r="J101" s="112"/>
      <c r="K101" s="112"/>
      <c r="L101" s="5"/>
      <c r="M101" s="5"/>
      <c r="N101" s="5"/>
      <c r="O101" s="5"/>
      <c r="P101" s="5"/>
      <c r="Q101" s="5"/>
      <c r="R101" s="5"/>
      <c r="S101" s="5"/>
      <c r="T101" s="5"/>
      <c r="U101" s="5"/>
      <c r="V101" s="5"/>
      <c r="W101" s="5"/>
      <c r="X101" s="5"/>
      <c r="Y101" s="5"/>
    </row>
    <row r="102" ht="15.75" customHeight="1">
      <c r="A102" s="5"/>
      <c r="B102" s="5"/>
      <c r="C102" s="5"/>
      <c r="D102" s="5"/>
      <c r="E102" s="5"/>
      <c r="F102" s="5"/>
      <c r="G102" s="112"/>
      <c r="H102" s="112"/>
      <c r="I102" s="112"/>
      <c r="J102" s="112"/>
      <c r="K102" s="112"/>
      <c r="L102" s="5"/>
      <c r="M102" s="5"/>
      <c r="N102" s="5"/>
      <c r="O102" s="5"/>
      <c r="P102" s="5"/>
      <c r="Q102" s="5"/>
      <c r="R102" s="5"/>
      <c r="S102" s="5"/>
      <c r="T102" s="5"/>
      <c r="U102" s="5"/>
      <c r="V102" s="5"/>
      <c r="W102" s="5"/>
      <c r="X102" s="5"/>
      <c r="Y102" s="5"/>
    </row>
    <row r="103" ht="15.75" customHeight="1">
      <c r="A103" s="5"/>
      <c r="B103" s="5"/>
      <c r="C103" s="5"/>
      <c r="D103" s="5"/>
      <c r="E103" s="5"/>
      <c r="F103" s="5"/>
      <c r="G103" s="112"/>
      <c r="H103" s="112"/>
      <c r="I103" s="112"/>
      <c r="J103" s="112"/>
      <c r="K103" s="112"/>
      <c r="L103" s="5"/>
      <c r="M103" s="5"/>
      <c r="N103" s="5"/>
      <c r="O103" s="5"/>
      <c r="P103" s="5"/>
      <c r="Q103" s="5"/>
      <c r="R103" s="5"/>
      <c r="S103" s="5"/>
      <c r="T103" s="5"/>
      <c r="U103" s="5"/>
      <c r="V103" s="5"/>
      <c r="W103" s="5"/>
      <c r="X103" s="5"/>
      <c r="Y103" s="5"/>
    </row>
    <row r="104" ht="15.75" customHeight="1">
      <c r="A104" s="5"/>
      <c r="B104" s="5"/>
      <c r="C104" s="5"/>
      <c r="D104" s="5"/>
      <c r="E104" s="5"/>
      <c r="F104" s="5"/>
      <c r="G104" s="112"/>
      <c r="H104" s="112"/>
      <c r="I104" s="112"/>
      <c r="J104" s="112"/>
      <c r="K104" s="112"/>
      <c r="L104" s="5"/>
      <c r="M104" s="5"/>
      <c r="N104" s="5"/>
      <c r="O104" s="5"/>
      <c r="P104" s="5"/>
      <c r="Q104" s="5"/>
      <c r="R104" s="5"/>
      <c r="S104" s="5"/>
      <c r="T104" s="5"/>
      <c r="U104" s="5"/>
      <c r="V104" s="5"/>
      <c r="W104" s="5"/>
      <c r="X104" s="5"/>
      <c r="Y104" s="5"/>
    </row>
    <row r="105" ht="15.75" customHeight="1">
      <c r="A105" s="5"/>
      <c r="B105" s="5"/>
      <c r="C105" s="5"/>
      <c r="D105" s="5"/>
      <c r="E105" s="5"/>
      <c r="F105" s="5"/>
      <c r="G105" s="112"/>
      <c r="H105" s="112"/>
      <c r="I105" s="112"/>
      <c r="J105" s="112"/>
      <c r="K105" s="112"/>
      <c r="L105" s="5"/>
      <c r="M105" s="5"/>
      <c r="N105" s="5"/>
      <c r="O105" s="5"/>
      <c r="P105" s="5"/>
      <c r="Q105" s="5"/>
      <c r="R105" s="5"/>
      <c r="S105" s="5"/>
      <c r="T105" s="5"/>
      <c r="U105" s="5"/>
      <c r="V105" s="5"/>
      <c r="W105" s="5"/>
      <c r="X105" s="5"/>
      <c r="Y105" s="5"/>
    </row>
    <row r="106" ht="15.75" customHeight="1">
      <c r="A106" s="5"/>
      <c r="B106" s="5"/>
      <c r="C106" s="5"/>
      <c r="D106" s="5"/>
      <c r="E106" s="5"/>
      <c r="F106" s="5"/>
      <c r="G106" s="112"/>
      <c r="H106" s="112"/>
      <c r="I106" s="112"/>
      <c r="J106" s="112"/>
      <c r="K106" s="112"/>
      <c r="L106" s="5"/>
      <c r="M106" s="5"/>
      <c r="N106" s="5"/>
      <c r="O106" s="5"/>
      <c r="P106" s="5"/>
      <c r="Q106" s="5"/>
      <c r="R106" s="5"/>
      <c r="S106" s="5"/>
      <c r="T106" s="5"/>
      <c r="U106" s="5"/>
      <c r="V106" s="5"/>
      <c r="W106" s="5"/>
      <c r="X106" s="5"/>
      <c r="Y106" s="5"/>
    </row>
    <row r="107" ht="15.75" customHeight="1">
      <c r="A107" s="5"/>
      <c r="B107" s="5"/>
      <c r="C107" s="5"/>
      <c r="D107" s="5"/>
      <c r="E107" s="5"/>
      <c r="F107" s="5"/>
      <c r="G107" s="112"/>
      <c r="H107" s="112"/>
      <c r="I107" s="112"/>
      <c r="J107" s="112"/>
      <c r="K107" s="112"/>
      <c r="L107" s="5"/>
      <c r="M107" s="5"/>
      <c r="N107" s="5"/>
      <c r="O107" s="5"/>
      <c r="P107" s="5"/>
      <c r="Q107" s="5"/>
      <c r="R107" s="5"/>
      <c r="S107" s="5"/>
      <c r="T107" s="5"/>
      <c r="U107" s="5"/>
      <c r="V107" s="5"/>
      <c r="W107" s="5"/>
      <c r="X107" s="5"/>
      <c r="Y107" s="5"/>
    </row>
    <row r="108" ht="15.75" customHeight="1">
      <c r="A108" s="5"/>
      <c r="B108" s="5"/>
      <c r="C108" s="5"/>
      <c r="D108" s="5"/>
      <c r="E108" s="5"/>
      <c r="F108" s="5"/>
      <c r="G108" s="112"/>
      <c r="H108" s="112"/>
      <c r="I108" s="112"/>
      <c r="J108" s="112"/>
      <c r="K108" s="112"/>
      <c r="L108" s="5"/>
      <c r="M108" s="5"/>
      <c r="N108" s="5"/>
      <c r="O108" s="5"/>
      <c r="P108" s="5"/>
      <c r="Q108" s="5"/>
      <c r="R108" s="5"/>
      <c r="S108" s="5"/>
      <c r="T108" s="5"/>
      <c r="U108" s="5"/>
      <c r="V108" s="5"/>
      <c r="W108" s="5"/>
      <c r="X108" s="5"/>
      <c r="Y108" s="5"/>
    </row>
    <row r="109" ht="15.75" customHeight="1">
      <c r="A109" s="5"/>
      <c r="B109" s="5"/>
      <c r="C109" s="5"/>
      <c r="D109" s="5"/>
      <c r="E109" s="5"/>
      <c r="F109" s="5"/>
      <c r="G109" s="112"/>
      <c r="H109" s="112"/>
      <c r="I109" s="112"/>
      <c r="J109" s="112"/>
      <c r="K109" s="112"/>
      <c r="L109" s="5"/>
      <c r="M109" s="5"/>
      <c r="N109" s="5"/>
      <c r="O109" s="5"/>
      <c r="P109" s="5"/>
      <c r="Q109" s="5"/>
      <c r="R109" s="5"/>
      <c r="S109" s="5"/>
      <c r="T109" s="5"/>
      <c r="U109" s="5"/>
      <c r="V109" s="5"/>
      <c r="W109" s="5"/>
      <c r="X109" s="5"/>
      <c r="Y109" s="5"/>
    </row>
    <row r="110" ht="15.75" customHeight="1">
      <c r="A110" s="5"/>
      <c r="B110" s="5"/>
      <c r="C110" s="5"/>
      <c r="D110" s="5"/>
      <c r="E110" s="5"/>
      <c r="F110" s="5"/>
      <c r="G110" s="112"/>
      <c r="H110" s="112"/>
      <c r="I110" s="112"/>
      <c r="J110" s="112"/>
      <c r="K110" s="112"/>
      <c r="L110" s="5"/>
      <c r="M110" s="5"/>
      <c r="N110" s="5"/>
      <c r="O110" s="5"/>
      <c r="P110" s="5"/>
      <c r="Q110" s="5"/>
      <c r="R110" s="5"/>
      <c r="S110" s="5"/>
      <c r="T110" s="5"/>
      <c r="U110" s="5"/>
      <c r="V110" s="5"/>
      <c r="W110" s="5"/>
      <c r="X110" s="5"/>
      <c r="Y110" s="5"/>
    </row>
    <row r="111" ht="15.75" customHeight="1">
      <c r="A111" s="5"/>
      <c r="B111" s="5"/>
      <c r="C111" s="5"/>
      <c r="D111" s="5"/>
      <c r="E111" s="5"/>
      <c r="F111" s="5"/>
      <c r="G111" s="112"/>
      <c r="H111" s="112"/>
      <c r="I111" s="112"/>
      <c r="J111" s="112"/>
      <c r="K111" s="112"/>
      <c r="L111" s="5"/>
      <c r="M111" s="5"/>
      <c r="N111" s="5"/>
      <c r="O111" s="5"/>
      <c r="P111" s="5"/>
      <c r="Q111" s="5"/>
      <c r="R111" s="5"/>
      <c r="S111" s="5"/>
      <c r="T111" s="5"/>
      <c r="U111" s="5"/>
      <c r="V111" s="5"/>
      <c r="W111" s="5"/>
      <c r="X111" s="5"/>
      <c r="Y111" s="5"/>
    </row>
    <row r="112" ht="15.75" customHeight="1">
      <c r="A112" s="5"/>
      <c r="B112" s="5"/>
      <c r="C112" s="5"/>
      <c r="D112" s="5"/>
      <c r="E112" s="5"/>
      <c r="F112" s="5"/>
      <c r="G112" s="112"/>
      <c r="H112" s="112"/>
      <c r="I112" s="112"/>
      <c r="J112" s="112"/>
      <c r="K112" s="112"/>
      <c r="L112" s="5"/>
      <c r="M112" s="5"/>
      <c r="N112" s="5"/>
      <c r="O112" s="5"/>
      <c r="P112" s="5"/>
      <c r="Q112" s="5"/>
      <c r="R112" s="5"/>
      <c r="S112" s="5"/>
      <c r="T112" s="5"/>
      <c r="U112" s="5"/>
      <c r="V112" s="5"/>
      <c r="W112" s="5"/>
      <c r="X112" s="5"/>
      <c r="Y112" s="5"/>
    </row>
    <row r="113" ht="15.75" customHeight="1">
      <c r="A113" s="5"/>
      <c r="B113" s="5"/>
      <c r="C113" s="5"/>
      <c r="D113" s="5"/>
      <c r="E113" s="5"/>
      <c r="F113" s="5"/>
      <c r="G113" s="112"/>
      <c r="H113" s="112"/>
      <c r="I113" s="112"/>
      <c r="J113" s="112"/>
      <c r="K113" s="112"/>
      <c r="L113" s="5"/>
      <c r="M113" s="5"/>
      <c r="N113" s="5"/>
      <c r="O113" s="5"/>
      <c r="P113" s="5"/>
      <c r="Q113" s="5"/>
      <c r="R113" s="5"/>
      <c r="S113" s="5"/>
      <c r="T113" s="5"/>
      <c r="U113" s="5"/>
      <c r="V113" s="5"/>
      <c r="W113" s="5"/>
      <c r="X113" s="5"/>
      <c r="Y113" s="5"/>
    </row>
    <row r="114" ht="15.75" customHeight="1">
      <c r="A114" s="5"/>
      <c r="B114" s="5"/>
      <c r="C114" s="5"/>
      <c r="D114" s="5"/>
      <c r="E114" s="5"/>
      <c r="F114" s="5"/>
      <c r="G114" s="112"/>
      <c r="H114" s="112"/>
      <c r="I114" s="112"/>
      <c r="J114" s="112"/>
      <c r="K114" s="112"/>
      <c r="L114" s="5"/>
      <c r="M114" s="5"/>
      <c r="N114" s="5"/>
      <c r="O114" s="5"/>
      <c r="P114" s="5"/>
      <c r="Q114" s="5"/>
      <c r="R114" s="5"/>
      <c r="S114" s="5"/>
      <c r="T114" s="5"/>
      <c r="U114" s="5"/>
      <c r="V114" s="5"/>
      <c r="W114" s="5"/>
      <c r="X114" s="5"/>
      <c r="Y114" s="5"/>
    </row>
    <row r="115" ht="15.75" customHeight="1">
      <c r="A115" s="5"/>
      <c r="B115" s="5"/>
      <c r="C115" s="5"/>
      <c r="D115" s="5"/>
      <c r="E115" s="5"/>
      <c r="F115" s="5"/>
      <c r="G115" s="112"/>
      <c r="H115" s="112"/>
      <c r="I115" s="112"/>
      <c r="J115" s="112"/>
      <c r="K115" s="112"/>
      <c r="L115" s="5"/>
      <c r="M115" s="5"/>
      <c r="N115" s="5"/>
      <c r="O115" s="5"/>
      <c r="P115" s="5"/>
      <c r="Q115" s="5"/>
      <c r="R115" s="5"/>
      <c r="S115" s="5"/>
      <c r="T115" s="5"/>
      <c r="U115" s="5"/>
      <c r="V115" s="5"/>
      <c r="W115" s="5"/>
      <c r="X115" s="5"/>
      <c r="Y115" s="5"/>
    </row>
    <row r="116" ht="15.75" customHeight="1">
      <c r="A116" s="5"/>
      <c r="B116" s="5"/>
      <c r="C116" s="5"/>
      <c r="D116" s="5"/>
      <c r="E116" s="5"/>
      <c r="F116" s="5"/>
      <c r="G116" s="112"/>
      <c r="H116" s="112"/>
      <c r="I116" s="112"/>
      <c r="J116" s="112"/>
      <c r="K116" s="112"/>
      <c r="L116" s="5"/>
      <c r="M116" s="5"/>
      <c r="N116" s="5"/>
      <c r="O116" s="5"/>
      <c r="P116" s="5"/>
      <c r="Q116" s="5"/>
      <c r="R116" s="5"/>
      <c r="S116" s="5"/>
      <c r="T116" s="5"/>
      <c r="U116" s="5"/>
      <c r="V116" s="5"/>
      <c r="W116" s="5"/>
      <c r="X116" s="5"/>
      <c r="Y116" s="5"/>
    </row>
    <row r="117" ht="15.75" customHeight="1">
      <c r="A117" s="5"/>
      <c r="B117" s="5"/>
      <c r="C117" s="5"/>
      <c r="D117" s="5"/>
      <c r="E117" s="5"/>
      <c r="F117" s="5"/>
      <c r="G117" s="112"/>
      <c r="H117" s="112"/>
      <c r="I117" s="112"/>
      <c r="J117" s="112"/>
      <c r="K117" s="112"/>
      <c r="L117" s="5"/>
      <c r="M117" s="5"/>
      <c r="N117" s="5"/>
      <c r="O117" s="5"/>
      <c r="P117" s="5"/>
      <c r="Q117" s="5"/>
      <c r="R117" s="5"/>
      <c r="S117" s="5"/>
      <c r="T117" s="5"/>
      <c r="U117" s="5"/>
      <c r="V117" s="5"/>
      <c r="W117" s="5"/>
      <c r="X117" s="5"/>
      <c r="Y117" s="5"/>
    </row>
    <row r="118" ht="15.75" customHeight="1">
      <c r="A118" s="5"/>
      <c r="B118" s="5"/>
      <c r="C118" s="5"/>
      <c r="D118" s="5"/>
      <c r="E118" s="5"/>
      <c r="F118" s="5"/>
      <c r="G118" s="112"/>
      <c r="H118" s="112"/>
      <c r="I118" s="112"/>
      <c r="J118" s="112"/>
      <c r="K118" s="112"/>
      <c r="L118" s="5"/>
      <c r="M118" s="5"/>
      <c r="N118" s="5"/>
      <c r="O118" s="5"/>
      <c r="P118" s="5"/>
      <c r="Q118" s="5"/>
      <c r="R118" s="5"/>
      <c r="S118" s="5"/>
      <c r="T118" s="5"/>
      <c r="U118" s="5"/>
      <c r="V118" s="5"/>
      <c r="W118" s="5"/>
      <c r="X118" s="5"/>
      <c r="Y118" s="5"/>
    </row>
    <row r="119" ht="15.75" customHeight="1">
      <c r="A119" s="5"/>
      <c r="B119" s="5"/>
      <c r="C119" s="5"/>
      <c r="D119" s="5"/>
      <c r="E119" s="5"/>
      <c r="F119" s="5"/>
      <c r="G119" s="112"/>
      <c r="H119" s="112"/>
      <c r="I119" s="112"/>
      <c r="J119" s="112"/>
      <c r="K119" s="112"/>
      <c r="L119" s="5"/>
      <c r="M119" s="5"/>
      <c r="N119" s="5"/>
      <c r="O119" s="5"/>
      <c r="P119" s="5"/>
      <c r="Q119" s="5"/>
      <c r="R119" s="5"/>
      <c r="S119" s="5"/>
      <c r="T119" s="5"/>
      <c r="U119" s="5"/>
      <c r="V119" s="5"/>
      <c r="W119" s="5"/>
      <c r="X119" s="5"/>
      <c r="Y119" s="5"/>
    </row>
    <row r="120" ht="15.75" customHeight="1">
      <c r="A120" s="5"/>
      <c r="B120" s="5"/>
      <c r="C120" s="5"/>
      <c r="D120" s="5"/>
      <c r="E120" s="5"/>
      <c r="F120" s="5"/>
      <c r="G120" s="112"/>
      <c r="H120" s="112"/>
      <c r="I120" s="112"/>
      <c r="J120" s="112"/>
      <c r="K120" s="112"/>
      <c r="L120" s="5"/>
      <c r="M120" s="5"/>
      <c r="N120" s="5"/>
      <c r="O120" s="5"/>
      <c r="P120" s="5"/>
      <c r="Q120" s="5"/>
      <c r="R120" s="5"/>
      <c r="S120" s="5"/>
      <c r="T120" s="5"/>
      <c r="U120" s="5"/>
      <c r="V120" s="5"/>
      <c r="W120" s="5"/>
      <c r="X120" s="5"/>
      <c r="Y120" s="5"/>
    </row>
    <row r="121" ht="15.75" customHeight="1">
      <c r="A121" s="5"/>
      <c r="B121" s="5"/>
      <c r="C121" s="5"/>
      <c r="D121" s="5"/>
      <c r="E121" s="5"/>
      <c r="F121" s="5"/>
      <c r="G121" s="112"/>
      <c r="H121" s="112"/>
      <c r="I121" s="112"/>
      <c r="J121" s="112"/>
      <c r="K121" s="112"/>
      <c r="L121" s="5"/>
      <c r="M121" s="5"/>
      <c r="N121" s="5"/>
      <c r="O121" s="5"/>
      <c r="P121" s="5"/>
      <c r="Q121" s="5"/>
      <c r="R121" s="5"/>
      <c r="S121" s="5"/>
      <c r="T121" s="5"/>
      <c r="U121" s="5"/>
      <c r="V121" s="5"/>
      <c r="W121" s="5"/>
      <c r="X121" s="5"/>
      <c r="Y121" s="5"/>
    </row>
    <row r="122" ht="15.75" customHeight="1">
      <c r="A122" s="5"/>
      <c r="B122" s="5"/>
      <c r="C122" s="5"/>
      <c r="D122" s="5"/>
      <c r="E122" s="5"/>
      <c r="F122" s="5"/>
      <c r="G122" s="112"/>
      <c r="H122" s="112"/>
      <c r="I122" s="112"/>
      <c r="J122" s="112"/>
      <c r="K122" s="112"/>
      <c r="L122" s="5"/>
      <c r="M122" s="5"/>
      <c r="N122" s="5"/>
      <c r="O122" s="5"/>
      <c r="P122" s="5"/>
      <c r="Q122" s="5"/>
      <c r="R122" s="5"/>
      <c r="S122" s="5"/>
      <c r="T122" s="5"/>
      <c r="U122" s="5"/>
      <c r="V122" s="5"/>
      <c r="W122" s="5"/>
      <c r="X122" s="5"/>
      <c r="Y122" s="5"/>
    </row>
    <row r="123" ht="15.75" customHeight="1">
      <c r="A123" s="5"/>
      <c r="B123" s="5"/>
      <c r="C123" s="5"/>
      <c r="D123" s="5"/>
      <c r="E123" s="5"/>
      <c r="F123" s="5"/>
      <c r="G123" s="112"/>
      <c r="H123" s="112"/>
      <c r="I123" s="112"/>
      <c r="J123" s="112"/>
      <c r="K123" s="112"/>
      <c r="L123" s="5"/>
      <c r="M123" s="5"/>
      <c r="N123" s="5"/>
      <c r="O123" s="5"/>
      <c r="P123" s="5"/>
      <c r="Q123" s="5"/>
      <c r="R123" s="5"/>
      <c r="S123" s="5"/>
      <c r="T123" s="5"/>
      <c r="U123" s="5"/>
      <c r="V123" s="5"/>
      <c r="W123" s="5"/>
      <c r="X123" s="5"/>
      <c r="Y123" s="5"/>
    </row>
    <row r="124" ht="15.75" customHeight="1">
      <c r="A124" s="5"/>
      <c r="B124" s="5"/>
      <c r="C124" s="5"/>
      <c r="D124" s="5"/>
      <c r="E124" s="5"/>
      <c r="F124" s="5"/>
      <c r="G124" s="112"/>
      <c r="H124" s="112"/>
      <c r="I124" s="112"/>
      <c r="J124" s="112"/>
      <c r="K124" s="112"/>
      <c r="L124" s="5"/>
      <c r="M124" s="5"/>
      <c r="N124" s="5"/>
      <c r="O124" s="5"/>
      <c r="P124" s="5"/>
      <c r="Q124" s="5"/>
      <c r="R124" s="5"/>
      <c r="S124" s="5"/>
      <c r="T124" s="5"/>
      <c r="U124" s="5"/>
      <c r="V124" s="5"/>
      <c r="W124" s="5"/>
      <c r="X124" s="5"/>
      <c r="Y124" s="5"/>
    </row>
    <row r="125" ht="15.75" customHeight="1">
      <c r="A125" s="5"/>
      <c r="B125" s="5"/>
      <c r="C125" s="5"/>
      <c r="D125" s="5"/>
      <c r="E125" s="5"/>
      <c r="F125" s="5"/>
      <c r="G125" s="112"/>
      <c r="H125" s="112"/>
      <c r="I125" s="112"/>
      <c r="J125" s="112"/>
      <c r="K125" s="112"/>
      <c r="L125" s="5"/>
      <c r="M125" s="5"/>
      <c r="N125" s="5"/>
      <c r="O125" s="5"/>
      <c r="P125" s="5"/>
      <c r="Q125" s="5"/>
      <c r="R125" s="5"/>
      <c r="S125" s="5"/>
      <c r="T125" s="5"/>
      <c r="U125" s="5"/>
      <c r="V125" s="5"/>
      <c r="W125" s="5"/>
      <c r="X125" s="5"/>
      <c r="Y125" s="5"/>
    </row>
    <row r="126" ht="15.75" customHeight="1">
      <c r="A126" s="5"/>
      <c r="B126" s="5"/>
      <c r="C126" s="5"/>
      <c r="D126" s="5"/>
      <c r="E126" s="5"/>
      <c r="F126" s="5"/>
      <c r="G126" s="112"/>
      <c r="H126" s="112"/>
      <c r="I126" s="112"/>
      <c r="J126" s="112"/>
      <c r="K126" s="112"/>
      <c r="L126" s="5"/>
      <c r="M126" s="5"/>
      <c r="N126" s="5"/>
      <c r="O126" s="5"/>
      <c r="P126" s="5"/>
      <c r="Q126" s="5"/>
      <c r="R126" s="5"/>
      <c r="S126" s="5"/>
      <c r="T126" s="5"/>
      <c r="U126" s="5"/>
      <c r="V126" s="5"/>
      <c r="W126" s="5"/>
      <c r="X126" s="5"/>
      <c r="Y126" s="5"/>
    </row>
    <row r="127" ht="15.75" customHeight="1">
      <c r="A127" s="5"/>
      <c r="B127" s="5"/>
      <c r="C127" s="5"/>
      <c r="D127" s="5"/>
      <c r="E127" s="5"/>
      <c r="F127" s="5"/>
      <c r="G127" s="112"/>
      <c r="H127" s="112"/>
      <c r="I127" s="112"/>
      <c r="J127" s="112"/>
      <c r="K127" s="112"/>
      <c r="L127" s="5"/>
      <c r="M127" s="5"/>
      <c r="N127" s="5"/>
      <c r="O127" s="5"/>
      <c r="P127" s="5"/>
      <c r="Q127" s="5"/>
      <c r="R127" s="5"/>
      <c r="S127" s="5"/>
      <c r="T127" s="5"/>
      <c r="U127" s="5"/>
      <c r="V127" s="5"/>
      <c r="W127" s="5"/>
      <c r="X127" s="5"/>
      <c r="Y127" s="5"/>
    </row>
    <row r="128" ht="15.75" customHeight="1">
      <c r="A128" s="5"/>
      <c r="B128" s="5"/>
      <c r="C128" s="5"/>
      <c r="D128" s="5"/>
      <c r="E128" s="5"/>
      <c r="F128" s="5"/>
      <c r="G128" s="112"/>
      <c r="H128" s="112"/>
      <c r="I128" s="112"/>
      <c r="J128" s="112"/>
      <c r="K128" s="112"/>
      <c r="L128" s="5"/>
      <c r="M128" s="5"/>
      <c r="N128" s="5"/>
      <c r="O128" s="5"/>
      <c r="P128" s="5"/>
      <c r="Q128" s="5"/>
      <c r="R128" s="5"/>
      <c r="S128" s="5"/>
      <c r="T128" s="5"/>
      <c r="U128" s="5"/>
      <c r="V128" s="5"/>
      <c r="W128" s="5"/>
      <c r="X128" s="5"/>
      <c r="Y128" s="5"/>
    </row>
    <row r="129" ht="15.75" customHeight="1">
      <c r="A129" s="5"/>
      <c r="B129" s="5"/>
      <c r="C129" s="5"/>
      <c r="D129" s="5"/>
      <c r="E129" s="5"/>
      <c r="F129" s="5"/>
      <c r="G129" s="112"/>
      <c r="H129" s="112"/>
      <c r="I129" s="112"/>
      <c r="J129" s="112"/>
      <c r="K129" s="112"/>
      <c r="L129" s="5"/>
      <c r="M129" s="5"/>
      <c r="N129" s="5"/>
      <c r="O129" s="5"/>
      <c r="P129" s="5"/>
      <c r="Q129" s="5"/>
      <c r="R129" s="5"/>
      <c r="S129" s="5"/>
      <c r="T129" s="5"/>
      <c r="U129" s="5"/>
      <c r="V129" s="5"/>
      <c r="W129" s="5"/>
      <c r="X129" s="5"/>
      <c r="Y129" s="5"/>
    </row>
    <row r="130" ht="15.75" customHeight="1">
      <c r="A130" s="5"/>
      <c r="B130" s="5"/>
      <c r="C130" s="5"/>
      <c r="D130" s="5"/>
      <c r="E130" s="5"/>
      <c r="F130" s="5"/>
      <c r="G130" s="112"/>
      <c r="H130" s="112"/>
      <c r="I130" s="112"/>
      <c r="J130" s="112"/>
      <c r="K130" s="112"/>
      <c r="L130" s="5"/>
      <c r="M130" s="5"/>
      <c r="N130" s="5"/>
      <c r="O130" s="5"/>
      <c r="P130" s="5"/>
      <c r="Q130" s="5"/>
      <c r="R130" s="5"/>
      <c r="S130" s="5"/>
      <c r="T130" s="5"/>
      <c r="U130" s="5"/>
      <c r="V130" s="5"/>
      <c r="W130" s="5"/>
      <c r="X130" s="5"/>
      <c r="Y130" s="5"/>
    </row>
    <row r="131" ht="15.75" customHeight="1">
      <c r="A131" s="5"/>
      <c r="B131" s="5"/>
      <c r="C131" s="5"/>
      <c r="D131" s="5"/>
      <c r="E131" s="5"/>
      <c r="F131" s="5"/>
      <c r="G131" s="112"/>
      <c r="H131" s="112"/>
      <c r="I131" s="112"/>
      <c r="J131" s="112"/>
      <c r="K131" s="112"/>
      <c r="L131" s="5"/>
      <c r="M131" s="5"/>
      <c r="N131" s="5"/>
      <c r="O131" s="5"/>
      <c r="P131" s="5"/>
      <c r="Q131" s="5"/>
      <c r="R131" s="5"/>
      <c r="S131" s="5"/>
      <c r="T131" s="5"/>
      <c r="U131" s="5"/>
      <c r="V131" s="5"/>
      <c r="W131" s="5"/>
      <c r="X131" s="5"/>
      <c r="Y131" s="5"/>
    </row>
    <row r="132" ht="15.75" customHeight="1">
      <c r="A132" s="5"/>
      <c r="B132" s="5"/>
      <c r="C132" s="5"/>
      <c r="D132" s="5"/>
      <c r="E132" s="5"/>
      <c r="F132" s="5"/>
      <c r="G132" s="112"/>
      <c r="H132" s="112"/>
      <c r="I132" s="112"/>
      <c r="J132" s="112"/>
      <c r="K132" s="112"/>
      <c r="L132" s="5"/>
      <c r="M132" s="5"/>
      <c r="N132" s="5"/>
      <c r="O132" s="5"/>
      <c r="P132" s="5"/>
      <c r="Q132" s="5"/>
      <c r="R132" s="5"/>
      <c r="S132" s="5"/>
      <c r="T132" s="5"/>
      <c r="U132" s="5"/>
      <c r="V132" s="5"/>
      <c r="W132" s="5"/>
      <c r="X132" s="5"/>
      <c r="Y132" s="5"/>
    </row>
    <row r="133" ht="15.75" customHeight="1">
      <c r="A133" s="5"/>
      <c r="B133" s="5"/>
      <c r="C133" s="5"/>
      <c r="D133" s="5"/>
      <c r="E133" s="5"/>
      <c r="F133" s="5"/>
      <c r="G133" s="112"/>
      <c r="H133" s="112"/>
      <c r="I133" s="112"/>
      <c r="J133" s="112"/>
      <c r="K133" s="112"/>
      <c r="L133" s="5"/>
      <c r="M133" s="5"/>
      <c r="N133" s="5"/>
      <c r="O133" s="5"/>
      <c r="P133" s="5"/>
      <c r="Q133" s="5"/>
      <c r="R133" s="5"/>
      <c r="S133" s="5"/>
      <c r="T133" s="5"/>
      <c r="U133" s="5"/>
      <c r="V133" s="5"/>
      <c r="W133" s="5"/>
      <c r="X133" s="5"/>
      <c r="Y133" s="5"/>
    </row>
    <row r="134" ht="15.75" customHeight="1">
      <c r="A134" s="5"/>
      <c r="B134" s="5"/>
      <c r="C134" s="5"/>
      <c r="D134" s="5"/>
      <c r="E134" s="5"/>
      <c r="F134" s="5"/>
      <c r="G134" s="112"/>
      <c r="H134" s="112"/>
      <c r="I134" s="112"/>
      <c r="J134" s="112"/>
      <c r="K134" s="112"/>
      <c r="L134" s="5"/>
      <c r="M134" s="5"/>
      <c r="N134" s="5"/>
      <c r="O134" s="5"/>
      <c r="P134" s="5"/>
      <c r="Q134" s="5"/>
      <c r="R134" s="5"/>
      <c r="S134" s="5"/>
      <c r="T134" s="5"/>
      <c r="U134" s="5"/>
      <c r="V134" s="5"/>
      <c r="W134" s="5"/>
      <c r="X134" s="5"/>
      <c r="Y134" s="5"/>
    </row>
    <row r="135" ht="15.75" customHeight="1">
      <c r="A135" s="5"/>
      <c r="B135" s="5"/>
      <c r="C135" s="5"/>
      <c r="D135" s="5"/>
      <c r="E135" s="5"/>
      <c r="F135" s="5"/>
      <c r="G135" s="112"/>
      <c r="H135" s="112"/>
      <c r="I135" s="112"/>
      <c r="J135" s="112"/>
      <c r="K135" s="112"/>
      <c r="L135" s="5"/>
      <c r="M135" s="5"/>
      <c r="N135" s="5"/>
      <c r="O135" s="5"/>
      <c r="P135" s="5"/>
      <c r="Q135" s="5"/>
      <c r="R135" s="5"/>
      <c r="S135" s="5"/>
      <c r="T135" s="5"/>
      <c r="U135" s="5"/>
      <c r="V135" s="5"/>
      <c r="W135" s="5"/>
      <c r="X135" s="5"/>
      <c r="Y135" s="5"/>
    </row>
    <row r="136" ht="15.75" customHeight="1">
      <c r="A136" s="5"/>
      <c r="B136" s="5"/>
      <c r="C136" s="5"/>
      <c r="D136" s="5"/>
      <c r="E136" s="5"/>
      <c r="F136" s="5"/>
      <c r="G136" s="112"/>
      <c r="H136" s="112"/>
      <c r="I136" s="112"/>
      <c r="J136" s="112"/>
      <c r="K136" s="112"/>
      <c r="L136" s="5"/>
      <c r="M136" s="5"/>
      <c r="N136" s="5"/>
      <c r="O136" s="5"/>
      <c r="P136" s="5"/>
      <c r="Q136" s="5"/>
      <c r="R136" s="5"/>
      <c r="S136" s="5"/>
      <c r="T136" s="5"/>
      <c r="U136" s="5"/>
      <c r="V136" s="5"/>
      <c r="W136" s="5"/>
      <c r="X136" s="5"/>
      <c r="Y136" s="5"/>
    </row>
    <row r="137" ht="15.75" customHeight="1">
      <c r="A137" s="5"/>
      <c r="B137" s="5"/>
      <c r="C137" s="5"/>
      <c r="D137" s="5"/>
      <c r="E137" s="5"/>
      <c r="F137" s="5"/>
      <c r="G137" s="112"/>
      <c r="H137" s="112"/>
      <c r="I137" s="112"/>
      <c r="J137" s="112"/>
      <c r="K137" s="112"/>
      <c r="L137" s="5"/>
      <c r="M137" s="5"/>
      <c r="N137" s="5"/>
      <c r="O137" s="5"/>
      <c r="P137" s="5"/>
      <c r="Q137" s="5"/>
      <c r="R137" s="5"/>
      <c r="S137" s="5"/>
      <c r="T137" s="5"/>
      <c r="U137" s="5"/>
      <c r="V137" s="5"/>
      <c r="W137" s="5"/>
      <c r="X137" s="5"/>
      <c r="Y137" s="5"/>
    </row>
    <row r="138" ht="15.75" customHeight="1">
      <c r="A138" s="5"/>
      <c r="B138" s="5"/>
      <c r="C138" s="5"/>
      <c r="D138" s="5"/>
      <c r="E138" s="5"/>
      <c r="F138" s="5"/>
      <c r="G138" s="112"/>
      <c r="H138" s="112"/>
      <c r="I138" s="112"/>
      <c r="J138" s="112"/>
      <c r="K138" s="112"/>
      <c r="L138" s="5"/>
      <c r="M138" s="5"/>
      <c r="N138" s="5"/>
      <c r="O138" s="5"/>
      <c r="P138" s="5"/>
      <c r="Q138" s="5"/>
      <c r="R138" s="5"/>
      <c r="S138" s="5"/>
      <c r="T138" s="5"/>
      <c r="U138" s="5"/>
      <c r="V138" s="5"/>
      <c r="W138" s="5"/>
      <c r="X138" s="5"/>
      <c r="Y138" s="5"/>
    </row>
    <row r="139" ht="15.75" customHeight="1">
      <c r="A139" s="5"/>
      <c r="B139" s="5"/>
      <c r="C139" s="5"/>
      <c r="D139" s="5"/>
      <c r="E139" s="5"/>
      <c r="F139" s="5"/>
      <c r="G139" s="112"/>
      <c r="H139" s="112"/>
      <c r="I139" s="112"/>
      <c r="J139" s="112"/>
      <c r="K139" s="112"/>
      <c r="L139" s="5"/>
      <c r="M139" s="5"/>
      <c r="N139" s="5"/>
      <c r="O139" s="5"/>
      <c r="P139" s="5"/>
      <c r="Q139" s="5"/>
      <c r="R139" s="5"/>
      <c r="S139" s="5"/>
      <c r="T139" s="5"/>
      <c r="U139" s="5"/>
      <c r="V139" s="5"/>
      <c r="W139" s="5"/>
      <c r="X139" s="5"/>
      <c r="Y139" s="5"/>
    </row>
    <row r="140" ht="15.75" customHeight="1">
      <c r="A140" s="5"/>
      <c r="B140" s="5"/>
      <c r="C140" s="5"/>
      <c r="D140" s="5"/>
      <c r="E140" s="5"/>
      <c r="F140" s="5"/>
      <c r="G140" s="112"/>
      <c r="H140" s="112"/>
      <c r="I140" s="112"/>
      <c r="J140" s="112"/>
      <c r="K140" s="112"/>
      <c r="L140" s="5"/>
      <c r="M140" s="5"/>
      <c r="N140" s="5"/>
      <c r="O140" s="5"/>
      <c r="P140" s="5"/>
      <c r="Q140" s="5"/>
      <c r="R140" s="5"/>
      <c r="S140" s="5"/>
      <c r="T140" s="5"/>
      <c r="U140" s="5"/>
      <c r="V140" s="5"/>
      <c r="W140" s="5"/>
      <c r="X140" s="5"/>
      <c r="Y140" s="5"/>
    </row>
    <row r="141" ht="15.75" customHeight="1">
      <c r="A141" s="5"/>
      <c r="B141" s="5"/>
      <c r="C141" s="5"/>
      <c r="D141" s="5"/>
      <c r="E141" s="5"/>
      <c r="F141" s="5"/>
      <c r="G141" s="112"/>
      <c r="H141" s="112"/>
      <c r="I141" s="112"/>
      <c r="J141" s="112"/>
      <c r="K141" s="112"/>
      <c r="L141" s="5"/>
      <c r="M141" s="5"/>
      <c r="N141" s="5"/>
      <c r="O141" s="5"/>
      <c r="P141" s="5"/>
      <c r="Q141" s="5"/>
      <c r="R141" s="5"/>
      <c r="S141" s="5"/>
      <c r="T141" s="5"/>
      <c r="U141" s="5"/>
      <c r="V141" s="5"/>
      <c r="W141" s="5"/>
      <c r="X141" s="5"/>
      <c r="Y141" s="5"/>
    </row>
    <row r="142" ht="15.75" customHeight="1">
      <c r="A142" s="5"/>
      <c r="B142" s="5"/>
      <c r="C142" s="5"/>
      <c r="D142" s="5"/>
      <c r="E142" s="5"/>
      <c r="F142" s="5"/>
      <c r="G142" s="112"/>
      <c r="H142" s="112"/>
      <c r="I142" s="112"/>
      <c r="J142" s="112"/>
      <c r="K142" s="112"/>
      <c r="L142" s="5"/>
      <c r="M142" s="5"/>
      <c r="N142" s="5"/>
      <c r="O142" s="5"/>
      <c r="P142" s="5"/>
      <c r="Q142" s="5"/>
      <c r="R142" s="5"/>
      <c r="S142" s="5"/>
      <c r="T142" s="5"/>
      <c r="U142" s="5"/>
      <c r="V142" s="5"/>
      <c r="W142" s="5"/>
      <c r="X142" s="5"/>
      <c r="Y142" s="5"/>
    </row>
    <row r="143" ht="15.75" customHeight="1">
      <c r="A143" s="5"/>
      <c r="B143" s="5"/>
      <c r="C143" s="5"/>
      <c r="D143" s="5"/>
      <c r="E143" s="5"/>
      <c r="F143" s="5"/>
      <c r="G143" s="112"/>
      <c r="H143" s="112"/>
      <c r="I143" s="112"/>
      <c r="J143" s="112"/>
      <c r="K143" s="112"/>
      <c r="L143" s="5"/>
      <c r="M143" s="5"/>
      <c r="N143" s="5"/>
      <c r="O143" s="5"/>
      <c r="P143" s="5"/>
      <c r="Q143" s="5"/>
      <c r="R143" s="5"/>
      <c r="S143" s="5"/>
      <c r="T143" s="5"/>
      <c r="U143" s="5"/>
      <c r="V143" s="5"/>
      <c r="W143" s="5"/>
      <c r="X143" s="5"/>
      <c r="Y143" s="5"/>
    </row>
    <row r="144" ht="15.75" customHeight="1">
      <c r="A144" s="5"/>
      <c r="B144" s="5"/>
      <c r="C144" s="5"/>
      <c r="D144" s="5"/>
      <c r="E144" s="5"/>
      <c r="F144" s="5"/>
      <c r="G144" s="112"/>
      <c r="H144" s="112"/>
      <c r="I144" s="112"/>
      <c r="J144" s="112"/>
      <c r="K144" s="112"/>
      <c r="L144" s="5"/>
      <c r="M144" s="5"/>
      <c r="N144" s="5"/>
      <c r="O144" s="5"/>
      <c r="P144" s="5"/>
      <c r="Q144" s="5"/>
      <c r="R144" s="5"/>
      <c r="S144" s="5"/>
      <c r="T144" s="5"/>
      <c r="U144" s="5"/>
      <c r="V144" s="5"/>
      <c r="W144" s="5"/>
      <c r="X144" s="5"/>
      <c r="Y144" s="5"/>
    </row>
    <row r="145" ht="15.75" customHeight="1">
      <c r="A145" s="5"/>
      <c r="B145" s="5"/>
      <c r="C145" s="5"/>
      <c r="D145" s="5"/>
      <c r="E145" s="5"/>
      <c r="F145" s="5"/>
      <c r="G145" s="112"/>
      <c r="H145" s="112"/>
      <c r="I145" s="112"/>
      <c r="J145" s="112"/>
      <c r="K145" s="112"/>
      <c r="L145" s="5"/>
      <c r="M145" s="5"/>
      <c r="N145" s="5"/>
      <c r="O145" s="5"/>
      <c r="P145" s="5"/>
      <c r="Q145" s="5"/>
      <c r="R145" s="5"/>
      <c r="S145" s="5"/>
      <c r="T145" s="5"/>
      <c r="U145" s="5"/>
      <c r="V145" s="5"/>
      <c r="W145" s="5"/>
      <c r="X145" s="5"/>
      <c r="Y145" s="5"/>
    </row>
    <row r="146" ht="15.75" customHeight="1">
      <c r="A146" s="5"/>
      <c r="B146" s="5"/>
      <c r="C146" s="5"/>
      <c r="D146" s="5"/>
      <c r="E146" s="5"/>
      <c r="F146" s="5"/>
      <c r="G146" s="112"/>
      <c r="H146" s="112"/>
      <c r="I146" s="112"/>
      <c r="J146" s="112"/>
      <c r="K146" s="112"/>
      <c r="L146" s="5"/>
      <c r="M146" s="5"/>
      <c r="N146" s="5"/>
      <c r="O146" s="5"/>
      <c r="P146" s="5"/>
      <c r="Q146" s="5"/>
      <c r="R146" s="5"/>
      <c r="S146" s="5"/>
      <c r="T146" s="5"/>
      <c r="U146" s="5"/>
      <c r="V146" s="5"/>
      <c r="W146" s="5"/>
      <c r="X146" s="5"/>
      <c r="Y146" s="5"/>
    </row>
    <row r="147" ht="15.75" customHeight="1">
      <c r="A147" s="5"/>
      <c r="B147" s="5"/>
      <c r="C147" s="5"/>
      <c r="D147" s="5"/>
      <c r="E147" s="5"/>
      <c r="F147" s="5"/>
      <c r="G147" s="112"/>
      <c r="H147" s="112"/>
      <c r="I147" s="112"/>
      <c r="J147" s="112"/>
      <c r="K147" s="112"/>
      <c r="L147" s="5"/>
      <c r="M147" s="5"/>
      <c r="N147" s="5"/>
      <c r="O147" s="5"/>
      <c r="P147" s="5"/>
      <c r="Q147" s="5"/>
      <c r="R147" s="5"/>
      <c r="S147" s="5"/>
      <c r="T147" s="5"/>
      <c r="U147" s="5"/>
      <c r="V147" s="5"/>
      <c r="W147" s="5"/>
      <c r="X147" s="5"/>
      <c r="Y147" s="5"/>
    </row>
    <row r="148" ht="15.75" customHeight="1">
      <c r="A148" s="5"/>
      <c r="B148" s="5"/>
      <c r="C148" s="5"/>
      <c r="D148" s="5"/>
      <c r="E148" s="5"/>
      <c r="F148" s="5"/>
      <c r="G148" s="112"/>
      <c r="H148" s="112"/>
      <c r="I148" s="112"/>
      <c r="J148" s="112"/>
      <c r="K148" s="112"/>
      <c r="L148" s="5"/>
      <c r="M148" s="5"/>
      <c r="N148" s="5"/>
      <c r="O148" s="5"/>
      <c r="P148" s="5"/>
      <c r="Q148" s="5"/>
      <c r="R148" s="5"/>
      <c r="S148" s="5"/>
      <c r="T148" s="5"/>
      <c r="U148" s="5"/>
      <c r="V148" s="5"/>
      <c r="W148" s="5"/>
      <c r="X148" s="5"/>
      <c r="Y148" s="5"/>
    </row>
    <row r="149" ht="15.75" customHeight="1">
      <c r="A149" s="5"/>
      <c r="B149" s="5"/>
      <c r="C149" s="5"/>
      <c r="D149" s="5"/>
      <c r="E149" s="5"/>
      <c r="F149" s="5"/>
      <c r="G149" s="112"/>
      <c r="H149" s="112"/>
      <c r="I149" s="112"/>
      <c r="J149" s="112"/>
      <c r="K149" s="112"/>
      <c r="L149" s="5"/>
      <c r="M149" s="5"/>
      <c r="N149" s="5"/>
      <c r="O149" s="5"/>
      <c r="P149" s="5"/>
      <c r="Q149" s="5"/>
      <c r="R149" s="5"/>
      <c r="S149" s="5"/>
      <c r="T149" s="5"/>
      <c r="U149" s="5"/>
      <c r="V149" s="5"/>
      <c r="W149" s="5"/>
      <c r="X149" s="5"/>
      <c r="Y149" s="5"/>
    </row>
    <row r="150" ht="15.75" customHeight="1">
      <c r="A150" s="5"/>
      <c r="B150" s="5"/>
      <c r="C150" s="5"/>
      <c r="D150" s="5"/>
      <c r="E150" s="5"/>
      <c r="F150" s="5"/>
      <c r="G150" s="112"/>
      <c r="H150" s="112"/>
      <c r="I150" s="112"/>
      <c r="J150" s="112"/>
      <c r="K150" s="112"/>
      <c r="L150" s="5"/>
      <c r="M150" s="5"/>
      <c r="N150" s="5"/>
      <c r="O150" s="5"/>
      <c r="P150" s="5"/>
      <c r="Q150" s="5"/>
      <c r="R150" s="5"/>
      <c r="S150" s="5"/>
      <c r="T150" s="5"/>
      <c r="U150" s="5"/>
      <c r="V150" s="5"/>
      <c r="W150" s="5"/>
      <c r="X150" s="5"/>
      <c r="Y150" s="5"/>
    </row>
    <row r="151" ht="15.75" customHeight="1">
      <c r="A151" s="5"/>
      <c r="B151" s="5"/>
      <c r="C151" s="5"/>
      <c r="D151" s="5"/>
      <c r="E151" s="5"/>
      <c r="F151" s="5"/>
      <c r="G151" s="112"/>
      <c r="H151" s="112"/>
      <c r="I151" s="112"/>
      <c r="J151" s="112"/>
      <c r="K151" s="112"/>
      <c r="L151" s="5"/>
      <c r="M151" s="5"/>
      <c r="N151" s="5"/>
      <c r="O151" s="5"/>
      <c r="P151" s="5"/>
      <c r="Q151" s="5"/>
      <c r="R151" s="5"/>
      <c r="S151" s="5"/>
      <c r="T151" s="5"/>
      <c r="U151" s="5"/>
      <c r="V151" s="5"/>
      <c r="W151" s="5"/>
      <c r="X151" s="5"/>
      <c r="Y151" s="5"/>
    </row>
    <row r="152" ht="15.75" customHeight="1">
      <c r="A152" s="5"/>
      <c r="B152" s="5"/>
      <c r="C152" s="5"/>
      <c r="D152" s="5"/>
      <c r="E152" s="5"/>
      <c r="F152" s="5"/>
      <c r="G152" s="112"/>
      <c r="H152" s="112"/>
      <c r="I152" s="112"/>
      <c r="J152" s="112"/>
      <c r="K152" s="112"/>
      <c r="L152" s="5"/>
      <c r="M152" s="5"/>
      <c r="N152" s="5"/>
      <c r="O152" s="5"/>
      <c r="P152" s="5"/>
      <c r="Q152" s="5"/>
      <c r="R152" s="5"/>
      <c r="S152" s="5"/>
      <c r="T152" s="5"/>
      <c r="U152" s="5"/>
      <c r="V152" s="5"/>
      <c r="W152" s="5"/>
      <c r="X152" s="5"/>
      <c r="Y152" s="5"/>
    </row>
    <row r="153" ht="15.75" customHeight="1">
      <c r="A153" s="5"/>
      <c r="B153" s="5"/>
      <c r="C153" s="5"/>
      <c r="D153" s="5"/>
      <c r="E153" s="5"/>
      <c r="F153" s="5"/>
      <c r="G153" s="112"/>
      <c r="H153" s="112"/>
      <c r="I153" s="112"/>
      <c r="J153" s="112"/>
      <c r="K153" s="112"/>
      <c r="L153" s="5"/>
      <c r="M153" s="5"/>
      <c r="N153" s="5"/>
      <c r="O153" s="5"/>
      <c r="P153" s="5"/>
      <c r="Q153" s="5"/>
      <c r="R153" s="5"/>
      <c r="S153" s="5"/>
      <c r="T153" s="5"/>
      <c r="U153" s="5"/>
      <c r="V153" s="5"/>
      <c r="W153" s="5"/>
      <c r="X153" s="5"/>
      <c r="Y153" s="5"/>
    </row>
    <row r="154" ht="15.75" customHeight="1">
      <c r="A154" s="5"/>
      <c r="B154" s="5"/>
      <c r="C154" s="5"/>
      <c r="D154" s="5"/>
      <c r="E154" s="5"/>
      <c r="F154" s="5"/>
      <c r="G154" s="112"/>
      <c r="H154" s="112"/>
      <c r="I154" s="112"/>
      <c r="J154" s="112"/>
      <c r="K154" s="112"/>
      <c r="L154" s="5"/>
      <c r="M154" s="5"/>
      <c r="N154" s="5"/>
      <c r="O154" s="5"/>
      <c r="P154" s="5"/>
      <c r="Q154" s="5"/>
      <c r="R154" s="5"/>
      <c r="S154" s="5"/>
      <c r="T154" s="5"/>
      <c r="U154" s="5"/>
      <c r="V154" s="5"/>
      <c r="W154" s="5"/>
      <c r="X154" s="5"/>
      <c r="Y154" s="5"/>
    </row>
    <row r="155" ht="15.75" customHeight="1">
      <c r="A155" s="5"/>
      <c r="B155" s="5"/>
      <c r="C155" s="5"/>
      <c r="D155" s="5"/>
      <c r="E155" s="5"/>
      <c r="F155" s="5"/>
      <c r="G155" s="112"/>
      <c r="H155" s="112"/>
      <c r="I155" s="112"/>
      <c r="J155" s="112"/>
      <c r="K155" s="112"/>
      <c r="L155" s="5"/>
      <c r="M155" s="5"/>
      <c r="N155" s="5"/>
      <c r="O155" s="5"/>
      <c r="P155" s="5"/>
      <c r="Q155" s="5"/>
      <c r="R155" s="5"/>
      <c r="S155" s="5"/>
      <c r="T155" s="5"/>
      <c r="U155" s="5"/>
      <c r="V155" s="5"/>
      <c r="W155" s="5"/>
      <c r="X155" s="5"/>
      <c r="Y155" s="5"/>
    </row>
    <row r="156" ht="15.75" customHeight="1">
      <c r="A156" s="5"/>
      <c r="B156" s="5"/>
      <c r="C156" s="5"/>
      <c r="D156" s="5"/>
      <c r="E156" s="5"/>
      <c r="F156" s="5"/>
      <c r="G156" s="112"/>
      <c r="H156" s="112"/>
      <c r="I156" s="112"/>
      <c r="J156" s="112"/>
      <c r="K156" s="112"/>
      <c r="L156" s="5"/>
      <c r="M156" s="5"/>
      <c r="N156" s="5"/>
      <c r="O156" s="5"/>
      <c r="P156" s="5"/>
      <c r="Q156" s="5"/>
      <c r="R156" s="5"/>
      <c r="S156" s="5"/>
      <c r="T156" s="5"/>
      <c r="U156" s="5"/>
      <c r="V156" s="5"/>
      <c r="W156" s="5"/>
      <c r="X156" s="5"/>
      <c r="Y156" s="5"/>
    </row>
    <row r="157" ht="15.75" customHeight="1">
      <c r="A157" s="5"/>
      <c r="B157" s="5"/>
      <c r="C157" s="5"/>
      <c r="D157" s="5"/>
      <c r="E157" s="5"/>
      <c r="F157" s="5"/>
      <c r="G157" s="112"/>
      <c r="H157" s="112"/>
      <c r="I157" s="112"/>
      <c r="J157" s="112"/>
      <c r="K157" s="112"/>
      <c r="L157" s="5"/>
      <c r="M157" s="5"/>
      <c r="N157" s="5"/>
      <c r="O157" s="5"/>
      <c r="P157" s="5"/>
      <c r="Q157" s="5"/>
      <c r="R157" s="5"/>
      <c r="S157" s="5"/>
      <c r="T157" s="5"/>
      <c r="U157" s="5"/>
      <c r="V157" s="5"/>
      <c r="W157" s="5"/>
      <c r="X157" s="5"/>
      <c r="Y157" s="5"/>
    </row>
    <row r="158" ht="15.75" customHeight="1">
      <c r="A158" s="5"/>
      <c r="B158" s="5"/>
      <c r="C158" s="5"/>
      <c r="D158" s="5"/>
      <c r="E158" s="5"/>
      <c r="F158" s="5"/>
      <c r="G158" s="112"/>
      <c r="H158" s="112"/>
      <c r="I158" s="112"/>
      <c r="J158" s="112"/>
      <c r="K158" s="112"/>
      <c r="L158" s="5"/>
      <c r="M158" s="5"/>
      <c r="N158" s="5"/>
      <c r="O158" s="5"/>
      <c r="P158" s="5"/>
      <c r="Q158" s="5"/>
      <c r="R158" s="5"/>
      <c r="S158" s="5"/>
      <c r="T158" s="5"/>
      <c r="U158" s="5"/>
      <c r="V158" s="5"/>
      <c r="W158" s="5"/>
      <c r="X158" s="5"/>
      <c r="Y158" s="5"/>
    </row>
    <row r="159" ht="15.75" customHeight="1">
      <c r="A159" s="5"/>
      <c r="B159" s="5"/>
      <c r="C159" s="5"/>
      <c r="D159" s="5"/>
      <c r="E159" s="5"/>
      <c r="F159" s="5"/>
      <c r="G159" s="112"/>
      <c r="H159" s="112"/>
      <c r="I159" s="112"/>
      <c r="J159" s="112"/>
      <c r="K159" s="112"/>
      <c r="L159" s="5"/>
      <c r="M159" s="5"/>
      <c r="N159" s="5"/>
      <c r="O159" s="5"/>
      <c r="P159" s="5"/>
      <c r="Q159" s="5"/>
      <c r="R159" s="5"/>
      <c r="S159" s="5"/>
      <c r="T159" s="5"/>
      <c r="U159" s="5"/>
      <c r="V159" s="5"/>
      <c r="W159" s="5"/>
      <c r="X159" s="5"/>
      <c r="Y159" s="5"/>
    </row>
    <row r="160" ht="15.75" customHeight="1">
      <c r="A160" s="5"/>
      <c r="B160" s="5"/>
      <c r="C160" s="5"/>
      <c r="D160" s="5"/>
      <c r="E160" s="5"/>
      <c r="F160" s="5"/>
      <c r="G160" s="112"/>
      <c r="H160" s="112"/>
      <c r="I160" s="112"/>
      <c r="J160" s="112"/>
      <c r="K160" s="112"/>
      <c r="L160" s="5"/>
      <c r="M160" s="5"/>
      <c r="N160" s="5"/>
      <c r="O160" s="5"/>
      <c r="P160" s="5"/>
      <c r="Q160" s="5"/>
      <c r="R160" s="5"/>
      <c r="S160" s="5"/>
      <c r="T160" s="5"/>
      <c r="U160" s="5"/>
      <c r="V160" s="5"/>
      <c r="W160" s="5"/>
      <c r="X160" s="5"/>
      <c r="Y160" s="5"/>
    </row>
    <row r="161" ht="15.75" customHeight="1">
      <c r="A161" s="5"/>
      <c r="B161" s="5"/>
      <c r="C161" s="5"/>
      <c r="D161" s="5"/>
      <c r="E161" s="5"/>
      <c r="F161" s="5"/>
      <c r="G161" s="112"/>
      <c r="H161" s="112"/>
      <c r="I161" s="112"/>
      <c r="J161" s="112"/>
      <c r="K161" s="112"/>
      <c r="L161" s="5"/>
      <c r="M161" s="5"/>
      <c r="N161" s="5"/>
      <c r="O161" s="5"/>
      <c r="P161" s="5"/>
      <c r="Q161" s="5"/>
      <c r="R161" s="5"/>
      <c r="S161" s="5"/>
      <c r="T161" s="5"/>
      <c r="U161" s="5"/>
      <c r="V161" s="5"/>
      <c r="W161" s="5"/>
      <c r="X161" s="5"/>
      <c r="Y161" s="5"/>
    </row>
    <row r="162" ht="15.75" customHeight="1">
      <c r="A162" s="5"/>
      <c r="B162" s="5"/>
      <c r="C162" s="5"/>
      <c r="D162" s="5"/>
      <c r="E162" s="5"/>
      <c r="F162" s="5"/>
      <c r="G162" s="112"/>
      <c r="H162" s="112"/>
      <c r="I162" s="112"/>
      <c r="J162" s="112"/>
      <c r="K162" s="112"/>
      <c r="L162" s="5"/>
      <c r="M162" s="5"/>
      <c r="N162" s="5"/>
      <c r="O162" s="5"/>
      <c r="P162" s="5"/>
      <c r="Q162" s="5"/>
      <c r="R162" s="5"/>
      <c r="S162" s="5"/>
      <c r="T162" s="5"/>
      <c r="U162" s="5"/>
      <c r="V162" s="5"/>
      <c r="W162" s="5"/>
      <c r="X162" s="5"/>
      <c r="Y162" s="5"/>
    </row>
    <row r="163" ht="15.75" customHeight="1">
      <c r="A163" s="5"/>
      <c r="B163" s="5"/>
      <c r="C163" s="5"/>
      <c r="D163" s="5"/>
      <c r="E163" s="5"/>
      <c r="F163" s="5"/>
      <c r="G163" s="112"/>
      <c r="H163" s="112"/>
      <c r="I163" s="112"/>
      <c r="J163" s="112"/>
      <c r="K163" s="112"/>
      <c r="L163" s="5"/>
      <c r="M163" s="5"/>
      <c r="N163" s="5"/>
      <c r="O163" s="5"/>
      <c r="P163" s="5"/>
      <c r="Q163" s="5"/>
      <c r="R163" s="5"/>
      <c r="S163" s="5"/>
      <c r="T163" s="5"/>
      <c r="U163" s="5"/>
      <c r="V163" s="5"/>
      <c r="W163" s="5"/>
      <c r="X163" s="5"/>
      <c r="Y163" s="5"/>
    </row>
    <row r="164" ht="15.75" customHeight="1">
      <c r="A164" s="5"/>
      <c r="B164" s="5"/>
      <c r="C164" s="5"/>
      <c r="D164" s="5"/>
      <c r="E164" s="5"/>
      <c r="F164" s="5"/>
      <c r="G164" s="112"/>
      <c r="H164" s="112"/>
      <c r="I164" s="112"/>
      <c r="J164" s="112"/>
      <c r="K164" s="112"/>
      <c r="L164" s="5"/>
      <c r="M164" s="5"/>
      <c r="N164" s="5"/>
      <c r="O164" s="5"/>
      <c r="P164" s="5"/>
      <c r="Q164" s="5"/>
      <c r="R164" s="5"/>
      <c r="S164" s="5"/>
      <c r="T164" s="5"/>
      <c r="U164" s="5"/>
      <c r="V164" s="5"/>
      <c r="W164" s="5"/>
      <c r="X164" s="5"/>
      <c r="Y164" s="5"/>
    </row>
    <row r="165" ht="15.75" customHeight="1">
      <c r="A165" s="5"/>
      <c r="B165" s="5"/>
      <c r="C165" s="5"/>
      <c r="D165" s="5"/>
      <c r="E165" s="5"/>
      <c r="F165" s="5"/>
      <c r="G165" s="112"/>
      <c r="H165" s="112"/>
      <c r="I165" s="112"/>
      <c r="J165" s="112"/>
      <c r="K165" s="112"/>
      <c r="L165" s="5"/>
      <c r="M165" s="5"/>
      <c r="N165" s="5"/>
      <c r="O165" s="5"/>
      <c r="P165" s="5"/>
      <c r="Q165" s="5"/>
      <c r="R165" s="5"/>
      <c r="S165" s="5"/>
      <c r="T165" s="5"/>
      <c r="U165" s="5"/>
      <c r="V165" s="5"/>
      <c r="W165" s="5"/>
      <c r="X165" s="5"/>
      <c r="Y165" s="5"/>
    </row>
    <row r="166" ht="15.75" customHeight="1">
      <c r="A166" s="5"/>
      <c r="B166" s="5"/>
      <c r="C166" s="5"/>
      <c r="D166" s="5"/>
      <c r="E166" s="5"/>
      <c r="F166" s="5"/>
      <c r="G166" s="112"/>
      <c r="H166" s="112"/>
      <c r="I166" s="112"/>
      <c r="J166" s="112"/>
      <c r="K166" s="112"/>
      <c r="L166" s="5"/>
      <c r="M166" s="5"/>
      <c r="N166" s="5"/>
      <c r="O166" s="5"/>
      <c r="P166" s="5"/>
      <c r="Q166" s="5"/>
      <c r="R166" s="5"/>
      <c r="S166" s="5"/>
      <c r="T166" s="5"/>
      <c r="U166" s="5"/>
      <c r="V166" s="5"/>
      <c r="W166" s="5"/>
      <c r="X166" s="5"/>
      <c r="Y166" s="5"/>
    </row>
    <row r="167" ht="15.75" customHeight="1">
      <c r="A167" s="5"/>
      <c r="B167" s="5"/>
      <c r="C167" s="5"/>
      <c r="D167" s="5"/>
      <c r="E167" s="5"/>
      <c r="F167" s="5"/>
      <c r="G167" s="112"/>
      <c r="H167" s="112"/>
      <c r="I167" s="112"/>
      <c r="J167" s="112"/>
      <c r="K167" s="112"/>
      <c r="L167" s="5"/>
      <c r="M167" s="5"/>
      <c r="N167" s="5"/>
      <c r="O167" s="5"/>
      <c r="P167" s="5"/>
      <c r="Q167" s="5"/>
      <c r="R167" s="5"/>
      <c r="S167" s="5"/>
      <c r="T167" s="5"/>
      <c r="U167" s="5"/>
      <c r="V167" s="5"/>
      <c r="W167" s="5"/>
      <c r="X167" s="5"/>
      <c r="Y167" s="5"/>
    </row>
    <row r="168" ht="15.75" customHeight="1">
      <c r="A168" s="5"/>
      <c r="B168" s="5"/>
      <c r="C168" s="5"/>
      <c r="D168" s="5"/>
      <c r="E168" s="5"/>
      <c r="F168" s="5"/>
      <c r="G168" s="112"/>
      <c r="H168" s="112"/>
      <c r="I168" s="112"/>
      <c r="J168" s="112"/>
      <c r="K168" s="112"/>
      <c r="L168" s="5"/>
      <c r="M168" s="5"/>
      <c r="N168" s="5"/>
      <c r="O168" s="5"/>
      <c r="P168" s="5"/>
      <c r="Q168" s="5"/>
      <c r="R168" s="5"/>
      <c r="S168" s="5"/>
      <c r="T168" s="5"/>
      <c r="U168" s="5"/>
      <c r="V168" s="5"/>
      <c r="W168" s="5"/>
      <c r="X168" s="5"/>
      <c r="Y168" s="5"/>
    </row>
    <row r="169" ht="15.75" customHeight="1">
      <c r="A169" s="5"/>
      <c r="B169" s="5"/>
      <c r="C169" s="5"/>
      <c r="D169" s="5"/>
      <c r="E169" s="5"/>
      <c r="F169" s="5"/>
      <c r="G169" s="112"/>
      <c r="H169" s="112"/>
      <c r="I169" s="112"/>
      <c r="J169" s="112"/>
      <c r="K169" s="112"/>
      <c r="L169" s="5"/>
      <c r="M169" s="5"/>
      <c r="N169" s="5"/>
      <c r="O169" s="5"/>
      <c r="P169" s="5"/>
      <c r="Q169" s="5"/>
      <c r="R169" s="5"/>
      <c r="S169" s="5"/>
      <c r="T169" s="5"/>
      <c r="U169" s="5"/>
      <c r="V169" s="5"/>
      <c r="W169" s="5"/>
      <c r="X169" s="5"/>
      <c r="Y169" s="5"/>
    </row>
    <row r="170" ht="15.75" customHeight="1">
      <c r="A170" s="5"/>
      <c r="B170" s="5"/>
      <c r="C170" s="5"/>
      <c r="D170" s="5"/>
      <c r="E170" s="5"/>
      <c r="F170" s="5"/>
      <c r="G170" s="112"/>
      <c r="H170" s="112"/>
      <c r="I170" s="112"/>
      <c r="J170" s="112"/>
      <c r="K170" s="112"/>
      <c r="L170" s="5"/>
      <c r="M170" s="5"/>
      <c r="N170" s="5"/>
      <c r="O170" s="5"/>
      <c r="P170" s="5"/>
      <c r="Q170" s="5"/>
      <c r="R170" s="5"/>
      <c r="S170" s="5"/>
      <c r="T170" s="5"/>
      <c r="U170" s="5"/>
      <c r="V170" s="5"/>
      <c r="W170" s="5"/>
      <c r="X170" s="5"/>
      <c r="Y170" s="5"/>
    </row>
    <row r="171" ht="15.75" customHeight="1">
      <c r="A171" s="5"/>
      <c r="B171" s="5"/>
      <c r="C171" s="5"/>
      <c r="D171" s="5"/>
      <c r="E171" s="5"/>
      <c r="F171" s="5"/>
      <c r="G171" s="112"/>
      <c r="H171" s="112"/>
      <c r="I171" s="112"/>
      <c r="J171" s="112"/>
      <c r="K171" s="112"/>
      <c r="L171" s="5"/>
      <c r="M171" s="5"/>
      <c r="N171" s="5"/>
      <c r="O171" s="5"/>
      <c r="P171" s="5"/>
      <c r="Q171" s="5"/>
      <c r="R171" s="5"/>
      <c r="S171" s="5"/>
      <c r="T171" s="5"/>
      <c r="U171" s="5"/>
      <c r="V171" s="5"/>
      <c r="W171" s="5"/>
      <c r="X171" s="5"/>
      <c r="Y171" s="5"/>
    </row>
    <row r="172" ht="15.75" customHeight="1">
      <c r="A172" s="5"/>
      <c r="B172" s="5"/>
      <c r="C172" s="5"/>
      <c r="D172" s="5"/>
      <c r="E172" s="5"/>
      <c r="F172" s="5"/>
      <c r="G172" s="112"/>
      <c r="H172" s="112"/>
      <c r="I172" s="112"/>
      <c r="J172" s="112"/>
      <c r="K172" s="112"/>
      <c r="L172" s="5"/>
      <c r="M172" s="5"/>
      <c r="N172" s="5"/>
      <c r="O172" s="5"/>
      <c r="P172" s="5"/>
      <c r="Q172" s="5"/>
      <c r="R172" s="5"/>
      <c r="S172" s="5"/>
      <c r="T172" s="5"/>
      <c r="U172" s="5"/>
      <c r="V172" s="5"/>
      <c r="W172" s="5"/>
      <c r="X172" s="5"/>
      <c r="Y172" s="5"/>
    </row>
    <row r="173" ht="15.75" customHeight="1">
      <c r="A173" s="5"/>
      <c r="B173" s="5"/>
      <c r="C173" s="5"/>
      <c r="D173" s="5"/>
      <c r="E173" s="5"/>
      <c r="F173" s="5"/>
      <c r="G173" s="112"/>
      <c r="H173" s="112"/>
      <c r="I173" s="112"/>
      <c r="J173" s="112"/>
      <c r="K173" s="112"/>
      <c r="L173" s="5"/>
      <c r="M173" s="5"/>
      <c r="N173" s="5"/>
      <c r="O173" s="5"/>
      <c r="P173" s="5"/>
      <c r="Q173" s="5"/>
      <c r="R173" s="5"/>
      <c r="S173" s="5"/>
      <c r="T173" s="5"/>
      <c r="U173" s="5"/>
      <c r="V173" s="5"/>
      <c r="W173" s="5"/>
      <c r="X173" s="5"/>
      <c r="Y173" s="5"/>
    </row>
    <row r="174" ht="15.75" customHeight="1">
      <c r="A174" s="5"/>
      <c r="B174" s="5"/>
      <c r="C174" s="5"/>
      <c r="D174" s="5"/>
      <c r="E174" s="5"/>
      <c r="F174" s="5"/>
      <c r="G174" s="112"/>
      <c r="H174" s="112"/>
      <c r="I174" s="112"/>
      <c r="J174" s="112"/>
      <c r="K174" s="112"/>
      <c r="L174" s="5"/>
      <c r="M174" s="5"/>
      <c r="N174" s="5"/>
      <c r="O174" s="5"/>
      <c r="P174" s="5"/>
      <c r="Q174" s="5"/>
      <c r="R174" s="5"/>
      <c r="S174" s="5"/>
      <c r="T174" s="5"/>
      <c r="U174" s="5"/>
      <c r="V174" s="5"/>
      <c r="W174" s="5"/>
      <c r="X174" s="5"/>
      <c r="Y174" s="5"/>
    </row>
    <row r="175" ht="15.75" customHeight="1">
      <c r="A175" s="5"/>
      <c r="B175" s="5"/>
      <c r="C175" s="5"/>
      <c r="D175" s="5"/>
      <c r="E175" s="5"/>
      <c r="F175" s="5"/>
      <c r="G175" s="112"/>
      <c r="H175" s="112"/>
      <c r="I175" s="112"/>
      <c r="J175" s="112"/>
      <c r="K175" s="112"/>
      <c r="L175" s="5"/>
      <c r="M175" s="5"/>
      <c r="N175" s="5"/>
      <c r="O175" s="5"/>
      <c r="P175" s="5"/>
      <c r="Q175" s="5"/>
      <c r="R175" s="5"/>
      <c r="S175" s="5"/>
      <c r="T175" s="5"/>
      <c r="U175" s="5"/>
      <c r="V175" s="5"/>
      <c r="W175" s="5"/>
      <c r="X175" s="5"/>
      <c r="Y175" s="5"/>
    </row>
    <row r="176" ht="15.75" customHeight="1">
      <c r="A176" s="5"/>
      <c r="B176" s="5"/>
      <c r="C176" s="5"/>
      <c r="D176" s="5"/>
      <c r="E176" s="5"/>
      <c r="F176" s="5"/>
      <c r="G176" s="112"/>
      <c r="H176" s="112"/>
      <c r="I176" s="112"/>
      <c r="J176" s="112"/>
      <c r="K176" s="112"/>
      <c r="L176" s="5"/>
      <c r="M176" s="5"/>
      <c r="N176" s="5"/>
      <c r="O176" s="5"/>
      <c r="P176" s="5"/>
      <c r="Q176" s="5"/>
      <c r="R176" s="5"/>
      <c r="S176" s="5"/>
      <c r="T176" s="5"/>
      <c r="U176" s="5"/>
      <c r="V176" s="5"/>
      <c r="W176" s="5"/>
      <c r="X176" s="5"/>
      <c r="Y176" s="5"/>
    </row>
    <row r="177" ht="15.75" customHeight="1">
      <c r="A177" s="5"/>
      <c r="B177" s="5"/>
      <c r="C177" s="5"/>
      <c r="D177" s="5"/>
      <c r="E177" s="5"/>
      <c r="F177" s="5"/>
      <c r="G177" s="112"/>
      <c r="H177" s="112"/>
      <c r="I177" s="112"/>
      <c r="J177" s="112"/>
      <c r="K177" s="112"/>
      <c r="L177" s="5"/>
      <c r="M177" s="5"/>
      <c r="N177" s="5"/>
      <c r="O177" s="5"/>
      <c r="P177" s="5"/>
      <c r="Q177" s="5"/>
      <c r="R177" s="5"/>
      <c r="S177" s="5"/>
      <c r="T177" s="5"/>
      <c r="U177" s="5"/>
      <c r="V177" s="5"/>
      <c r="W177" s="5"/>
      <c r="X177" s="5"/>
      <c r="Y177" s="5"/>
    </row>
    <row r="178" ht="15.75" customHeight="1">
      <c r="A178" s="5"/>
      <c r="B178" s="5"/>
      <c r="C178" s="5"/>
      <c r="D178" s="5"/>
      <c r="E178" s="5"/>
      <c r="F178" s="5"/>
      <c r="G178" s="112"/>
      <c r="H178" s="112"/>
      <c r="I178" s="112"/>
      <c r="J178" s="112"/>
      <c r="K178" s="112"/>
      <c r="L178" s="5"/>
      <c r="M178" s="5"/>
      <c r="N178" s="5"/>
      <c r="O178" s="5"/>
      <c r="P178" s="5"/>
      <c r="Q178" s="5"/>
      <c r="R178" s="5"/>
      <c r="S178" s="5"/>
      <c r="T178" s="5"/>
      <c r="U178" s="5"/>
      <c r="V178" s="5"/>
      <c r="W178" s="5"/>
      <c r="X178" s="5"/>
      <c r="Y178" s="5"/>
    </row>
    <row r="179" ht="15.75" customHeight="1">
      <c r="A179" s="5"/>
      <c r="B179" s="5"/>
      <c r="C179" s="5"/>
      <c r="D179" s="5"/>
      <c r="E179" s="5"/>
      <c r="F179" s="5"/>
      <c r="G179" s="112"/>
      <c r="H179" s="112"/>
      <c r="I179" s="112"/>
      <c r="J179" s="112"/>
      <c r="K179" s="112"/>
      <c r="L179" s="5"/>
      <c r="M179" s="5"/>
      <c r="N179" s="5"/>
      <c r="O179" s="5"/>
      <c r="P179" s="5"/>
      <c r="Q179" s="5"/>
      <c r="R179" s="5"/>
      <c r="S179" s="5"/>
      <c r="T179" s="5"/>
      <c r="U179" s="5"/>
      <c r="V179" s="5"/>
      <c r="W179" s="5"/>
      <c r="X179" s="5"/>
      <c r="Y179" s="5"/>
    </row>
    <row r="180" ht="15.75" customHeight="1">
      <c r="A180" s="5"/>
      <c r="B180" s="5"/>
      <c r="C180" s="5"/>
      <c r="D180" s="5"/>
      <c r="E180" s="5"/>
      <c r="F180" s="5"/>
      <c r="G180" s="112"/>
      <c r="H180" s="112"/>
      <c r="I180" s="112"/>
      <c r="J180" s="112"/>
      <c r="K180" s="112"/>
      <c r="L180" s="5"/>
      <c r="M180" s="5"/>
      <c r="N180" s="5"/>
      <c r="O180" s="5"/>
      <c r="P180" s="5"/>
      <c r="Q180" s="5"/>
      <c r="R180" s="5"/>
      <c r="S180" s="5"/>
      <c r="T180" s="5"/>
      <c r="U180" s="5"/>
      <c r="V180" s="5"/>
      <c r="W180" s="5"/>
      <c r="X180" s="5"/>
      <c r="Y180" s="5"/>
    </row>
    <row r="181" ht="15.75" customHeight="1">
      <c r="A181" s="5"/>
      <c r="B181" s="5"/>
      <c r="C181" s="5"/>
      <c r="D181" s="5"/>
      <c r="E181" s="5"/>
      <c r="F181" s="5"/>
      <c r="G181" s="112"/>
      <c r="H181" s="112"/>
      <c r="I181" s="112"/>
      <c r="J181" s="112"/>
      <c r="K181" s="112"/>
      <c r="L181" s="5"/>
      <c r="M181" s="5"/>
      <c r="N181" s="5"/>
      <c r="O181" s="5"/>
      <c r="P181" s="5"/>
      <c r="Q181" s="5"/>
      <c r="R181" s="5"/>
      <c r="S181" s="5"/>
      <c r="T181" s="5"/>
      <c r="U181" s="5"/>
      <c r="V181" s="5"/>
      <c r="W181" s="5"/>
      <c r="X181" s="5"/>
      <c r="Y181" s="5"/>
    </row>
    <row r="182" ht="15.75" customHeight="1">
      <c r="A182" s="5"/>
      <c r="B182" s="5"/>
      <c r="C182" s="5"/>
      <c r="D182" s="5"/>
      <c r="E182" s="5"/>
      <c r="F182" s="5"/>
      <c r="G182" s="112"/>
      <c r="H182" s="112"/>
      <c r="I182" s="112"/>
      <c r="J182" s="112"/>
      <c r="K182" s="112"/>
      <c r="L182" s="5"/>
      <c r="M182" s="5"/>
      <c r="N182" s="5"/>
      <c r="O182" s="5"/>
      <c r="P182" s="5"/>
      <c r="Q182" s="5"/>
      <c r="R182" s="5"/>
      <c r="S182" s="5"/>
      <c r="T182" s="5"/>
      <c r="U182" s="5"/>
      <c r="V182" s="5"/>
      <c r="W182" s="5"/>
      <c r="X182" s="5"/>
      <c r="Y182" s="5"/>
    </row>
    <row r="183" ht="15.75" customHeight="1">
      <c r="A183" s="5"/>
      <c r="B183" s="5"/>
      <c r="C183" s="5"/>
      <c r="D183" s="5"/>
      <c r="E183" s="5"/>
      <c r="F183" s="5"/>
      <c r="G183" s="112"/>
      <c r="H183" s="112"/>
      <c r="I183" s="112"/>
      <c r="J183" s="112"/>
      <c r="K183" s="112"/>
      <c r="L183" s="5"/>
      <c r="M183" s="5"/>
      <c r="N183" s="5"/>
      <c r="O183" s="5"/>
      <c r="P183" s="5"/>
      <c r="Q183" s="5"/>
      <c r="R183" s="5"/>
      <c r="S183" s="5"/>
      <c r="T183" s="5"/>
      <c r="U183" s="5"/>
      <c r="V183" s="5"/>
      <c r="W183" s="5"/>
      <c r="X183" s="5"/>
      <c r="Y183" s="5"/>
    </row>
    <row r="184" ht="15.75" customHeight="1">
      <c r="A184" s="5"/>
      <c r="B184" s="5"/>
      <c r="C184" s="5"/>
      <c r="D184" s="5"/>
      <c r="E184" s="5"/>
      <c r="F184" s="5"/>
      <c r="G184" s="112"/>
      <c r="H184" s="112"/>
      <c r="I184" s="112"/>
      <c r="J184" s="112"/>
      <c r="K184" s="112"/>
      <c r="L184" s="5"/>
      <c r="M184" s="5"/>
      <c r="N184" s="5"/>
      <c r="O184" s="5"/>
      <c r="P184" s="5"/>
      <c r="Q184" s="5"/>
      <c r="R184" s="5"/>
      <c r="S184" s="5"/>
      <c r="T184" s="5"/>
      <c r="U184" s="5"/>
      <c r="V184" s="5"/>
      <c r="W184" s="5"/>
      <c r="X184" s="5"/>
      <c r="Y184" s="5"/>
    </row>
    <row r="185" ht="15.75" customHeight="1">
      <c r="A185" s="5"/>
      <c r="B185" s="5"/>
      <c r="C185" s="5"/>
      <c r="D185" s="5"/>
      <c r="E185" s="5"/>
      <c r="F185" s="5"/>
      <c r="G185" s="112"/>
      <c r="H185" s="112"/>
      <c r="I185" s="112"/>
      <c r="J185" s="112"/>
      <c r="K185" s="112"/>
      <c r="L185" s="5"/>
      <c r="M185" s="5"/>
      <c r="N185" s="5"/>
      <c r="O185" s="5"/>
      <c r="P185" s="5"/>
      <c r="Q185" s="5"/>
      <c r="R185" s="5"/>
      <c r="S185" s="5"/>
      <c r="T185" s="5"/>
      <c r="U185" s="5"/>
      <c r="V185" s="5"/>
      <c r="W185" s="5"/>
      <c r="X185" s="5"/>
      <c r="Y185" s="5"/>
    </row>
    <row r="186" ht="15.75" customHeight="1">
      <c r="A186" s="5"/>
      <c r="B186" s="5"/>
      <c r="C186" s="5"/>
      <c r="D186" s="5"/>
      <c r="E186" s="5"/>
      <c r="F186" s="5"/>
      <c r="G186" s="112"/>
      <c r="H186" s="112"/>
      <c r="I186" s="112"/>
      <c r="J186" s="112"/>
      <c r="K186" s="112"/>
      <c r="L186" s="5"/>
      <c r="M186" s="5"/>
      <c r="N186" s="5"/>
      <c r="O186" s="5"/>
      <c r="P186" s="5"/>
      <c r="Q186" s="5"/>
      <c r="R186" s="5"/>
      <c r="S186" s="5"/>
      <c r="T186" s="5"/>
      <c r="U186" s="5"/>
      <c r="V186" s="5"/>
      <c r="W186" s="5"/>
      <c r="X186" s="5"/>
      <c r="Y186" s="5"/>
    </row>
    <row r="187" ht="15.75" customHeight="1">
      <c r="A187" s="5"/>
      <c r="B187" s="5"/>
      <c r="C187" s="5"/>
      <c r="D187" s="5"/>
      <c r="E187" s="5"/>
      <c r="F187" s="5"/>
      <c r="G187" s="112"/>
      <c r="H187" s="112"/>
      <c r="I187" s="112"/>
      <c r="J187" s="112"/>
      <c r="K187" s="112"/>
      <c r="L187" s="5"/>
      <c r="M187" s="5"/>
      <c r="N187" s="5"/>
      <c r="O187" s="5"/>
      <c r="P187" s="5"/>
      <c r="Q187" s="5"/>
      <c r="R187" s="5"/>
      <c r="S187" s="5"/>
      <c r="T187" s="5"/>
      <c r="U187" s="5"/>
      <c r="V187" s="5"/>
      <c r="W187" s="5"/>
      <c r="X187" s="5"/>
      <c r="Y187" s="5"/>
    </row>
    <row r="188" ht="15.75" customHeight="1">
      <c r="A188" s="5"/>
      <c r="B188" s="5"/>
      <c r="C188" s="5"/>
      <c r="D188" s="5"/>
      <c r="E188" s="5"/>
      <c r="F188" s="5"/>
      <c r="G188" s="112"/>
      <c r="H188" s="112"/>
      <c r="I188" s="112"/>
      <c r="J188" s="112"/>
      <c r="K188" s="112"/>
      <c r="L188" s="5"/>
      <c r="M188" s="5"/>
      <c r="N188" s="5"/>
      <c r="O188" s="5"/>
      <c r="P188" s="5"/>
      <c r="Q188" s="5"/>
      <c r="R188" s="5"/>
      <c r="S188" s="5"/>
      <c r="T188" s="5"/>
      <c r="U188" s="5"/>
      <c r="V188" s="5"/>
      <c r="W188" s="5"/>
      <c r="X188" s="5"/>
      <c r="Y188" s="5"/>
    </row>
    <row r="189" ht="15.75" customHeight="1">
      <c r="A189" s="5"/>
      <c r="B189" s="5"/>
      <c r="C189" s="5"/>
      <c r="D189" s="5"/>
      <c r="E189" s="5"/>
      <c r="F189" s="5"/>
      <c r="G189" s="112"/>
      <c r="H189" s="112"/>
      <c r="I189" s="112"/>
      <c r="J189" s="112"/>
      <c r="K189" s="112"/>
      <c r="L189" s="5"/>
      <c r="M189" s="5"/>
      <c r="N189" s="5"/>
      <c r="O189" s="5"/>
      <c r="P189" s="5"/>
      <c r="Q189" s="5"/>
      <c r="R189" s="5"/>
      <c r="S189" s="5"/>
      <c r="T189" s="5"/>
      <c r="U189" s="5"/>
      <c r="V189" s="5"/>
      <c r="W189" s="5"/>
      <c r="X189" s="5"/>
      <c r="Y189" s="5"/>
    </row>
    <row r="190" ht="15.75" customHeight="1">
      <c r="A190" s="5"/>
      <c r="B190" s="5"/>
      <c r="C190" s="5"/>
      <c r="D190" s="5"/>
      <c r="E190" s="5"/>
      <c r="F190" s="5"/>
      <c r="G190" s="112"/>
      <c r="H190" s="112"/>
      <c r="I190" s="112"/>
      <c r="J190" s="112"/>
      <c r="K190" s="112"/>
      <c r="L190" s="5"/>
      <c r="M190" s="5"/>
      <c r="N190" s="5"/>
      <c r="O190" s="5"/>
      <c r="P190" s="5"/>
      <c r="Q190" s="5"/>
      <c r="R190" s="5"/>
      <c r="S190" s="5"/>
      <c r="T190" s="5"/>
      <c r="U190" s="5"/>
      <c r="V190" s="5"/>
      <c r="W190" s="5"/>
      <c r="X190" s="5"/>
      <c r="Y190" s="5"/>
    </row>
    <row r="191" ht="15.75" customHeight="1">
      <c r="A191" s="5"/>
      <c r="B191" s="5"/>
      <c r="C191" s="5"/>
      <c r="D191" s="5"/>
      <c r="E191" s="5"/>
      <c r="F191" s="5"/>
      <c r="G191" s="112"/>
      <c r="H191" s="112"/>
      <c r="I191" s="112"/>
      <c r="J191" s="112"/>
      <c r="K191" s="112"/>
      <c r="L191" s="5"/>
      <c r="M191" s="5"/>
      <c r="N191" s="5"/>
      <c r="O191" s="5"/>
      <c r="P191" s="5"/>
      <c r="Q191" s="5"/>
      <c r="R191" s="5"/>
      <c r="S191" s="5"/>
      <c r="T191" s="5"/>
      <c r="U191" s="5"/>
      <c r="V191" s="5"/>
      <c r="W191" s="5"/>
      <c r="X191" s="5"/>
      <c r="Y191" s="5"/>
    </row>
    <row r="192" ht="15.75" customHeight="1">
      <c r="A192" s="5"/>
      <c r="B192" s="5"/>
      <c r="C192" s="5"/>
      <c r="D192" s="5"/>
      <c r="E192" s="5"/>
      <c r="F192" s="5"/>
      <c r="G192" s="112"/>
      <c r="H192" s="112"/>
      <c r="I192" s="112"/>
      <c r="J192" s="112"/>
      <c r="K192" s="112"/>
      <c r="L192" s="5"/>
      <c r="M192" s="5"/>
      <c r="N192" s="5"/>
      <c r="O192" s="5"/>
      <c r="P192" s="5"/>
      <c r="Q192" s="5"/>
      <c r="R192" s="5"/>
      <c r="S192" s="5"/>
      <c r="T192" s="5"/>
      <c r="U192" s="5"/>
      <c r="V192" s="5"/>
      <c r="W192" s="5"/>
      <c r="X192" s="5"/>
      <c r="Y192" s="5"/>
    </row>
    <row r="193" ht="15.75" customHeight="1">
      <c r="A193" s="5"/>
      <c r="B193" s="5"/>
      <c r="C193" s="5"/>
      <c r="D193" s="5"/>
      <c r="E193" s="5"/>
      <c r="F193" s="5"/>
      <c r="G193" s="112"/>
      <c r="H193" s="112"/>
      <c r="I193" s="112"/>
      <c r="J193" s="112"/>
      <c r="K193" s="112"/>
      <c r="L193" s="5"/>
      <c r="M193" s="5"/>
      <c r="N193" s="5"/>
      <c r="O193" s="5"/>
      <c r="P193" s="5"/>
      <c r="Q193" s="5"/>
      <c r="R193" s="5"/>
      <c r="S193" s="5"/>
      <c r="T193" s="5"/>
      <c r="U193" s="5"/>
      <c r="V193" s="5"/>
      <c r="W193" s="5"/>
      <c r="X193" s="5"/>
      <c r="Y193" s="5"/>
    </row>
    <row r="194" ht="15.75" customHeight="1">
      <c r="A194" s="5"/>
      <c r="B194" s="5"/>
      <c r="C194" s="5"/>
      <c r="D194" s="5"/>
      <c r="E194" s="5"/>
      <c r="F194" s="5"/>
      <c r="G194" s="112"/>
      <c r="H194" s="112"/>
      <c r="I194" s="112"/>
      <c r="J194" s="112"/>
      <c r="K194" s="112"/>
      <c r="L194" s="5"/>
      <c r="M194" s="5"/>
      <c r="N194" s="5"/>
      <c r="O194" s="5"/>
      <c r="P194" s="5"/>
      <c r="Q194" s="5"/>
      <c r="R194" s="5"/>
      <c r="S194" s="5"/>
      <c r="T194" s="5"/>
      <c r="U194" s="5"/>
      <c r="V194" s="5"/>
      <c r="W194" s="5"/>
      <c r="X194" s="5"/>
      <c r="Y194" s="5"/>
    </row>
    <row r="195" ht="15.75" customHeight="1">
      <c r="A195" s="5"/>
      <c r="B195" s="5"/>
      <c r="C195" s="5"/>
      <c r="D195" s="5"/>
      <c r="E195" s="5"/>
      <c r="F195" s="5"/>
      <c r="G195" s="112"/>
      <c r="H195" s="112"/>
      <c r="I195" s="112"/>
      <c r="J195" s="112"/>
      <c r="K195" s="112"/>
      <c r="L195" s="5"/>
      <c r="M195" s="5"/>
      <c r="N195" s="5"/>
      <c r="O195" s="5"/>
      <c r="P195" s="5"/>
      <c r="Q195" s="5"/>
      <c r="R195" s="5"/>
      <c r="S195" s="5"/>
      <c r="T195" s="5"/>
      <c r="U195" s="5"/>
      <c r="V195" s="5"/>
      <c r="W195" s="5"/>
      <c r="X195" s="5"/>
      <c r="Y195" s="5"/>
    </row>
    <row r="196" ht="15.75" customHeight="1">
      <c r="A196" s="5"/>
      <c r="B196" s="5"/>
      <c r="C196" s="5"/>
      <c r="D196" s="5"/>
      <c r="E196" s="5"/>
      <c r="F196" s="5"/>
      <c r="G196" s="112"/>
      <c r="H196" s="112"/>
      <c r="I196" s="112"/>
      <c r="J196" s="112"/>
      <c r="K196" s="112"/>
      <c r="L196" s="5"/>
      <c r="M196" s="5"/>
      <c r="N196" s="5"/>
      <c r="O196" s="5"/>
      <c r="P196" s="5"/>
      <c r="Q196" s="5"/>
      <c r="R196" s="5"/>
      <c r="S196" s="5"/>
      <c r="T196" s="5"/>
      <c r="U196" s="5"/>
      <c r="V196" s="5"/>
      <c r="W196" s="5"/>
      <c r="X196" s="5"/>
      <c r="Y196" s="5"/>
    </row>
    <row r="197" ht="15.75" customHeight="1">
      <c r="A197" s="5"/>
      <c r="B197" s="5"/>
      <c r="C197" s="5"/>
      <c r="D197" s="5"/>
      <c r="E197" s="5"/>
      <c r="F197" s="5"/>
      <c r="G197" s="112"/>
      <c r="H197" s="112"/>
      <c r="I197" s="112"/>
      <c r="J197" s="112"/>
      <c r="K197" s="112"/>
      <c r="L197" s="5"/>
      <c r="M197" s="5"/>
      <c r="N197" s="5"/>
      <c r="O197" s="5"/>
      <c r="P197" s="5"/>
      <c r="Q197" s="5"/>
      <c r="R197" s="5"/>
      <c r="S197" s="5"/>
      <c r="T197" s="5"/>
      <c r="U197" s="5"/>
      <c r="V197" s="5"/>
      <c r="W197" s="5"/>
      <c r="X197" s="5"/>
      <c r="Y197" s="5"/>
    </row>
    <row r="198" ht="15.75" customHeight="1">
      <c r="A198" s="5"/>
      <c r="B198" s="5"/>
      <c r="C198" s="5"/>
      <c r="D198" s="5"/>
      <c r="E198" s="5"/>
      <c r="F198" s="5"/>
      <c r="G198" s="112"/>
      <c r="H198" s="112"/>
      <c r="I198" s="112"/>
      <c r="J198" s="112"/>
      <c r="K198" s="112"/>
      <c r="L198" s="5"/>
      <c r="M198" s="5"/>
      <c r="N198" s="5"/>
      <c r="O198" s="5"/>
      <c r="P198" s="5"/>
      <c r="Q198" s="5"/>
      <c r="R198" s="5"/>
      <c r="S198" s="5"/>
      <c r="T198" s="5"/>
      <c r="U198" s="5"/>
      <c r="V198" s="5"/>
      <c r="W198" s="5"/>
      <c r="X198" s="5"/>
      <c r="Y198" s="5"/>
    </row>
    <row r="199" ht="15.75" customHeight="1">
      <c r="A199" s="5"/>
      <c r="B199" s="5"/>
      <c r="C199" s="5"/>
      <c r="D199" s="5"/>
      <c r="E199" s="5"/>
      <c r="F199" s="5"/>
      <c r="G199" s="112"/>
      <c r="H199" s="112"/>
      <c r="I199" s="112"/>
      <c r="J199" s="112"/>
      <c r="K199" s="112"/>
      <c r="L199" s="5"/>
      <c r="M199" s="5"/>
      <c r="N199" s="5"/>
      <c r="O199" s="5"/>
      <c r="P199" s="5"/>
      <c r="Q199" s="5"/>
      <c r="R199" s="5"/>
      <c r="S199" s="5"/>
      <c r="T199" s="5"/>
      <c r="U199" s="5"/>
      <c r="V199" s="5"/>
      <c r="W199" s="5"/>
      <c r="X199" s="5"/>
      <c r="Y199" s="5"/>
    </row>
    <row r="200" ht="15.75" customHeight="1">
      <c r="A200" s="5"/>
      <c r="B200" s="5"/>
      <c r="C200" s="5"/>
      <c r="D200" s="5"/>
      <c r="E200" s="5"/>
      <c r="F200" s="5"/>
      <c r="G200" s="112"/>
      <c r="H200" s="112"/>
      <c r="I200" s="112"/>
      <c r="J200" s="112"/>
      <c r="K200" s="112"/>
      <c r="L200" s="5"/>
      <c r="M200" s="5"/>
      <c r="N200" s="5"/>
      <c r="O200" s="5"/>
      <c r="P200" s="5"/>
      <c r="Q200" s="5"/>
      <c r="R200" s="5"/>
      <c r="S200" s="5"/>
      <c r="T200" s="5"/>
      <c r="U200" s="5"/>
      <c r="V200" s="5"/>
      <c r="W200" s="5"/>
      <c r="X200" s="5"/>
      <c r="Y200" s="5"/>
    </row>
    <row r="201" ht="15.75" customHeight="1">
      <c r="A201" s="5"/>
      <c r="B201" s="5"/>
      <c r="C201" s="5"/>
      <c r="D201" s="5"/>
      <c r="E201" s="5"/>
      <c r="F201" s="5"/>
      <c r="G201" s="112"/>
      <c r="H201" s="112"/>
      <c r="I201" s="112"/>
      <c r="J201" s="112"/>
      <c r="K201" s="112"/>
      <c r="L201" s="5"/>
      <c r="M201" s="5"/>
      <c r="N201" s="5"/>
      <c r="O201" s="5"/>
      <c r="P201" s="5"/>
      <c r="Q201" s="5"/>
      <c r="R201" s="5"/>
      <c r="S201" s="5"/>
      <c r="T201" s="5"/>
      <c r="U201" s="5"/>
      <c r="V201" s="5"/>
      <c r="W201" s="5"/>
      <c r="X201" s="5"/>
      <c r="Y201" s="5"/>
    </row>
    <row r="202" ht="15.75" customHeight="1">
      <c r="A202" s="5"/>
      <c r="B202" s="5"/>
      <c r="C202" s="5"/>
      <c r="D202" s="5"/>
      <c r="E202" s="5"/>
      <c r="F202" s="5"/>
      <c r="G202" s="112"/>
      <c r="H202" s="112"/>
      <c r="I202" s="112"/>
      <c r="J202" s="112"/>
      <c r="K202" s="112"/>
      <c r="L202" s="5"/>
      <c r="M202" s="5"/>
      <c r="N202" s="5"/>
      <c r="O202" s="5"/>
      <c r="P202" s="5"/>
      <c r="Q202" s="5"/>
      <c r="R202" s="5"/>
      <c r="S202" s="5"/>
      <c r="T202" s="5"/>
      <c r="U202" s="5"/>
      <c r="V202" s="5"/>
      <c r="W202" s="5"/>
      <c r="X202" s="5"/>
      <c r="Y202" s="5"/>
    </row>
    <row r="203" ht="15.75" customHeight="1">
      <c r="A203" s="5"/>
      <c r="B203" s="5"/>
      <c r="C203" s="5"/>
      <c r="D203" s="5"/>
      <c r="E203" s="5"/>
      <c r="F203" s="5"/>
      <c r="G203" s="112"/>
      <c r="H203" s="112"/>
      <c r="I203" s="112"/>
      <c r="J203" s="112"/>
      <c r="K203" s="112"/>
      <c r="L203" s="5"/>
      <c r="M203" s="5"/>
      <c r="N203" s="5"/>
      <c r="O203" s="5"/>
      <c r="P203" s="5"/>
      <c r="Q203" s="5"/>
      <c r="R203" s="5"/>
      <c r="S203" s="5"/>
      <c r="T203" s="5"/>
      <c r="U203" s="5"/>
      <c r="V203" s="5"/>
      <c r="W203" s="5"/>
      <c r="X203" s="5"/>
      <c r="Y203" s="5"/>
    </row>
    <row r="204" ht="15.75" customHeight="1">
      <c r="A204" s="5"/>
      <c r="B204" s="5"/>
      <c r="C204" s="5"/>
      <c r="D204" s="5"/>
      <c r="E204" s="5"/>
      <c r="F204" s="5"/>
      <c r="G204" s="112"/>
      <c r="H204" s="112"/>
      <c r="I204" s="112"/>
      <c r="J204" s="112"/>
      <c r="K204" s="112"/>
      <c r="L204" s="5"/>
      <c r="M204" s="5"/>
      <c r="N204" s="5"/>
      <c r="O204" s="5"/>
      <c r="P204" s="5"/>
      <c r="Q204" s="5"/>
      <c r="R204" s="5"/>
      <c r="S204" s="5"/>
      <c r="T204" s="5"/>
      <c r="U204" s="5"/>
      <c r="V204" s="5"/>
      <c r="W204" s="5"/>
      <c r="X204" s="5"/>
      <c r="Y204" s="5"/>
    </row>
    <row r="205" ht="15.75" customHeight="1">
      <c r="A205" s="5"/>
      <c r="B205" s="5"/>
      <c r="C205" s="5"/>
      <c r="D205" s="5"/>
      <c r="E205" s="5"/>
      <c r="F205" s="5"/>
      <c r="G205" s="112"/>
      <c r="H205" s="112"/>
      <c r="I205" s="112"/>
      <c r="J205" s="112"/>
      <c r="K205" s="112"/>
      <c r="L205" s="5"/>
      <c r="M205" s="5"/>
      <c r="N205" s="5"/>
      <c r="O205" s="5"/>
      <c r="P205" s="5"/>
      <c r="Q205" s="5"/>
      <c r="R205" s="5"/>
      <c r="S205" s="5"/>
      <c r="T205" s="5"/>
      <c r="U205" s="5"/>
      <c r="V205" s="5"/>
      <c r="W205" s="5"/>
      <c r="X205" s="5"/>
      <c r="Y205" s="5"/>
    </row>
    <row r="206" ht="15.75" customHeight="1">
      <c r="A206" s="5"/>
      <c r="B206" s="5"/>
      <c r="C206" s="5"/>
      <c r="D206" s="5"/>
      <c r="E206" s="5"/>
      <c r="F206" s="5"/>
      <c r="G206" s="112"/>
      <c r="H206" s="112"/>
      <c r="I206" s="112"/>
      <c r="J206" s="112"/>
      <c r="K206" s="112"/>
      <c r="L206" s="5"/>
      <c r="M206" s="5"/>
      <c r="N206" s="5"/>
      <c r="O206" s="5"/>
      <c r="P206" s="5"/>
      <c r="Q206" s="5"/>
      <c r="R206" s="5"/>
      <c r="S206" s="5"/>
      <c r="T206" s="5"/>
      <c r="U206" s="5"/>
      <c r="V206" s="5"/>
      <c r="W206" s="5"/>
      <c r="X206" s="5"/>
      <c r="Y206" s="5"/>
    </row>
    <row r="207" ht="15.75" customHeight="1">
      <c r="A207" s="5"/>
      <c r="B207" s="5"/>
      <c r="C207" s="5"/>
      <c r="D207" s="5"/>
      <c r="E207" s="5"/>
      <c r="F207" s="5"/>
      <c r="G207" s="112"/>
      <c r="H207" s="112"/>
      <c r="I207" s="112"/>
      <c r="J207" s="112"/>
      <c r="K207" s="112"/>
      <c r="L207" s="5"/>
      <c r="M207" s="5"/>
      <c r="N207" s="5"/>
      <c r="O207" s="5"/>
      <c r="P207" s="5"/>
      <c r="Q207" s="5"/>
      <c r="R207" s="5"/>
      <c r="S207" s="5"/>
      <c r="T207" s="5"/>
      <c r="U207" s="5"/>
      <c r="V207" s="5"/>
      <c r="W207" s="5"/>
      <c r="X207" s="5"/>
      <c r="Y207" s="5"/>
    </row>
    <row r="208" ht="15.75" customHeight="1">
      <c r="A208" s="5"/>
      <c r="B208" s="5"/>
      <c r="C208" s="5"/>
      <c r="D208" s="5"/>
      <c r="E208" s="5"/>
      <c r="F208" s="5"/>
      <c r="G208" s="112"/>
      <c r="H208" s="112"/>
      <c r="I208" s="112"/>
      <c r="J208" s="112"/>
      <c r="K208" s="112"/>
      <c r="L208" s="5"/>
      <c r="M208" s="5"/>
      <c r="N208" s="5"/>
      <c r="O208" s="5"/>
      <c r="P208" s="5"/>
      <c r="Q208" s="5"/>
      <c r="R208" s="5"/>
      <c r="S208" s="5"/>
      <c r="T208" s="5"/>
      <c r="U208" s="5"/>
      <c r="V208" s="5"/>
      <c r="W208" s="5"/>
      <c r="X208" s="5"/>
      <c r="Y208" s="5"/>
    </row>
    <row r="209" ht="15.75" customHeight="1">
      <c r="A209" s="5"/>
      <c r="B209" s="5"/>
      <c r="C209" s="5"/>
      <c r="D209" s="5"/>
      <c r="E209" s="5"/>
      <c r="F209" s="5"/>
      <c r="G209" s="112"/>
      <c r="H209" s="112"/>
      <c r="I209" s="112"/>
      <c r="J209" s="112"/>
      <c r="K209" s="112"/>
      <c r="L209" s="5"/>
      <c r="M209" s="5"/>
      <c r="N209" s="5"/>
      <c r="O209" s="5"/>
      <c r="P209" s="5"/>
      <c r="Q209" s="5"/>
      <c r="R209" s="5"/>
      <c r="S209" s="5"/>
      <c r="T209" s="5"/>
      <c r="U209" s="5"/>
      <c r="V209" s="5"/>
      <c r="W209" s="5"/>
      <c r="X209" s="5"/>
      <c r="Y209" s="5"/>
    </row>
    <row r="210" ht="15.75" customHeight="1">
      <c r="A210" s="5"/>
      <c r="B210" s="5"/>
      <c r="C210" s="5"/>
      <c r="D210" s="5"/>
      <c r="E210" s="5"/>
      <c r="F210" s="5"/>
      <c r="G210" s="112"/>
      <c r="H210" s="112"/>
      <c r="I210" s="112"/>
      <c r="J210" s="112"/>
      <c r="K210" s="112"/>
      <c r="L210" s="5"/>
      <c r="M210" s="5"/>
      <c r="N210" s="5"/>
      <c r="O210" s="5"/>
      <c r="P210" s="5"/>
      <c r="Q210" s="5"/>
      <c r="R210" s="5"/>
      <c r="S210" s="5"/>
      <c r="T210" s="5"/>
      <c r="U210" s="5"/>
      <c r="V210" s="5"/>
      <c r="W210" s="5"/>
      <c r="X210" s="5"/>
      <c r="Y210" s="5"/>
    </row>
    <row r="211" ht="15.75" customHeight="1">
      <c r="A211" s="5"/>
      <c r="B211" s="5"/>
      <c r="C211" s="5"/>
      <c r="D211" s="5"/>
      <c r="E211" s="5"/>
      <c r="F211" s="5"/>
      <c r="G211" s="112"/>
      <c r="H211" s="112"/>
      <c r="I211" s="112"/>
      <c r="J211" s="112"/>
      <c r="K211" s="112"/>
      <c r="L211" s="5"/>
      <c r="M211" s="5"/>
      <c r="N211" s="5"/>
      <c r="O211" s="5"/>
      <c r="P211" s="5"/>
      <c r="Q211" s="5"/>
      <c r="R211" s="5"/>
      <c r="S211" s="5"/>
      <c r="T211" s="5"/>
      <c r="U211" s="5"/>
      <c r="V211" s="5"/>
      <c r="W211" s="5"/>
      <c r="X211" s="5"/>
      <c r="Y211" s="5"/>
    </row>
    <row r="212" ht="15.75" customHeight="1">
      <c r="A212" s="5"/>
      <c r="B212" s="5"/>
      <c r="C212" s="5"/>
      <c r="D212" s="5"/>
      <c r="E212" s="5"/>
      <c r="F212" s="5"/>
      <c r="G212" s="112"/>
      <c r="H212" s="112"/>
      <c r="I212" s="112"/>
      <c r="J212" s="112"/>
      <c r="K212" s="112"/>
      <c r="L212" s="5"/>
      <c r="M212" s="5"/>
      <c r="N212" s="5"/>
      <c r="O212" s="5"/>
      <c r="P212" s="5"/>
      <c r="Q212" s="5"/>
      <c r="R212" s="5"/>
      <c r="S212" s="5"/>
      <c r="T212" s="5"/>
      <c r="U212" s="5"/>
      <c r="V212" s="5"/>
      <c r="W212" s="5"/>
      <c r="X212" s="5"/>
      <c r="Y212" s="5"/>
    </row>
    <row r="213" ht="15.75" customHeight="1">
      <c r="A213" s="5"/>
      <c r="B213" s="5"/>
      <c r="C213" s="5"/>
      <c r="D213" s="5"/>
      <c r="E213" s="5"/>
      <c r="F213" s="5"/>
      <c r="G213" s="112"/>
      <c r="H213" s="112"/>
      <c r="I213" s="112"/>
      <c r="J213" s="112"/>
      <c r="K213" s="112"/>
      <c r="L213" s="5"/>
      <c r="M213" s="5"/>
      <c r="N213" s="5"/>
      <c r="O213" s="5"/>
      <c r="P213" s="5"/>
      <c r="Q213" s="5"/>
      <c r="R213" s="5"/>
      <c r="S213" s="5"/>
      <c r="T213" s="5"/>
      <c r="U213" s="5"/>
      <c r="V213" s="5"/>
      <c r="W213" s="5"/>
      <c r="X213" s="5"/>
      <c r="Y213" s="5"/>
    </row>
    <row r="214" ht="15.75" customHeight="1">
      <c r="A214" s="5"/>
      <c r="B214" s="5"/>
      <c r="C214" s="5"/>
      <c r="D214" s="5"/>
      <c r="E214" s="5"/>
      <c r="F214" s="5"/>
      <c r="G214" s="112"/>
      <c r="H214" s="112"/>
      <c r="I214" s="112"/>
      <c r="J214" s="112"/>
      <c r="K214" s="112"/>
      <c r="L214" s="5"/>
      <c r="M214" s="5"/>
      <c r="N214" s="5"/>
      <c r="O214" s="5"/>
      <c r="P214" s="5"/>
      <c r="Q214" s="5"/>
      <c r="R214" s="5"/>
      <c r="S214" s="5"/>
      <c r="T214" s="5"/>
      <c r="U214" s="5"/>
      <c r="V214" s="5"/>
      <c r="W214" s="5"/>
      <c r="X214" s="5"/>
      <c r="Y214" s="5"/>
    </row>
    <row r="215" ht="15.75" customHeight="1">
      <c r="A215" s="5"/>
      <c r="B215" s="5"/>
      <c r="C215" s="5"/>
      <c r="D215" s="5"/>
      <c r="E215" s="5"/>
      <c r="F215" s="5"/>
      <c r="G215" s="112"/>
      <c r="H215" s="112"/>
      <c r="I215" s="112"/>
      <c r="J215" s="112"/>
      <c r="K215" s="112"/>
      <c r="L215" s="5"/>
      <c r="M215" s="5"/>
      <c r="N215" s="5"/>
      <c r="O215" s="5"/>
      <c r="P215" s="5"/>
      <c r="Q215" s="5"/>
      <c r="R215" s="5"/>
      <c r="S215" s="5"/>
      <c r="T215" s="5"/>
      <c r="U215" s="5"/>
      <c r="V215" s="5"/>
      <c r="W215" s="5"/>
      <c r="X215" s="5"/>
      <c r="Y215" s="5"/>
    </row>
    <row r="216" ht="15.75" customHeight="1">
      <c r="A216" s="5"/>
      <c r="B216" s="5"/>
      <c r="C216" s="5"/>
      <c r="D216" s="5"/>
      <c r="E216" s="5"/>
      <c r="F216" s="5"/>
      <c r="G216" s="112"/>
      <c r="H216" s="112"/>
      <c r="I216" s="112"/>
      <c r="J216" s="112"/>
      <c r="K216" s="112"/>
      <c r="L216" s="5"/>
      <c r="M216" s="5"/>
      <c r="N216" s="5"/>
      <c r="O216" s="5"/>
      <c r="P216" s="5"/>
      <c r="Q216" s="5"/>
      <c r="R216" s="5"/>
      <c r="S216" s="5"/>
      <c r="T216" s="5"/>
      <c r="U216" s="5"/>
      <c r="V216" s="5"/>
      <c r="W216" s="5"/>
      <c r="X216" s="5"/>
      <c r="Y216" s="5"/>
    </row>
    <row r="217" ht="15.75" customHeight="1">
      <c r="A217" s="5"/>
      <c r="B217" s="5"/>
      <c r="C217" s="5"/>
      <c r="D217" s="5"/>
      <c r="E217" s="5"/>
      <c r="F217" s="5"/>
      <c r="G217" s="112"/>
      <c r="H217" s="112"/>
      <c r="I217" s="112"/>
      <c r="J217" s="112"/>
      <c r="K217" s="112"/>
      <c r="L217" s="5"/>
      <c r="M217" s="5"/>
      <c r="N217" s="5"/>
      <c r="O217" s="5"/>
      <c r="P217" s="5"/>
      <c r="Q217" s="5"/>
      <c r="R217" s="5"/>
      <c r="S217" s="5"/>
      <c r="T217" s="5"/>
      <c r="U217" s="5"/>
      <c r="V217" s="5"/>
      <c r="W217" s="5"/>
      <c r="X217" s="5"/>
      <c r="Y217" s="5"/>
    </row>
    <row r="218" ht="15.75" customHeight="1">
      <c r="A218" s="5"/>
      <c r="B218" s="5"/>
      <c r="C218" s="5"/>
      <c r="D218" s="5"/>
      <c r="E218" s="5"/>
      <c r="F218" s="5"/>
      <c r="G218" s="112"/>
      <c r="H218" s="112"/>
      <c r="I218" s="112"/>
      <c r="J218" s="112"/>
      <c r="K218" s="112"/>
      <c r="L218" s="5"/>
      <c r="M218" s="5"/>
      <c r="N218" s="5"/>
      <c r="O218" s="5"/>
      <c r="P218" s="5"/>
      <c r="Q218" s="5"/>
      <c r="R218" s="5"/>
      <c r="S218" s="5"/>
      <c r="T218" s="5"/>
      <c r="U218" s="5"/>
      <c r="V218" s="5"/>
      <c r="W218" s="5"/>
      <c r="X218" s="5"/>
      <c r="Y218" s="5"/>
    </row>
    <row r="219" ht="15.75" customHeight="1">
      <c r="A219" s="5"/>
      <c r="B219" s="5"/>
      <c r="C219" s="5"/>
      <c r="D219" s="5"/>
      <c r="E219" s="5"/>
      <c r="F219" s="5"/>
      <c r="G219" s="112"/>
      <c r="H219" s="112"/>
      <c r="I219" s="112"/>
      <c r="J219" s="112"/>
      <c r="K219" s="112"/>
      <c r="L219" s="5"/>
      <c r="M219" s="5"/>
      <c r="N219" s="5"/>
      <c r="O219" s="5"/>
      <c r="P219" s="5"/>
      <c r="Q219" s="5"/>
      <c r="R219" s="5"/>
      <c r="S219" s="5"/>
      <c r="T219" s="5"/>
      <c r="U219" s="5"/>
      <c r="V219" s="5"/>
      <c r="W219" s="5"/>
      <c r="X219" s="5"/>
      <c r="Y219" s="5"/>
    </row>
    <row r="220" ht="15.75" customHeight="1">
      <c r="A220" s="5"/>
      <c r="B220" s="5"/>
      <c r="C220" s="5"/>
      <c r="D220" s="5"/>
      <c r="E220" s="5"/>
      <c r="F220" s="5"/>
      <c r="G220" s="112"/>
      <c r="H220" s="112"/>
      <c r="I220" s="112"/>
      <c r="J220" s="112"/>
      <c r="K220" s="112"/>
      <c r="L220" s="5"/>
      <c r="M220" s="5"/>
      <c r="N220" s="5"/>
      <c r="O220" s="5"/>
      <c r="P220" s="5"/>
      <c r="Q220" s="5"/>
      <c r="R220" s="5"/>
      <c r="S220" s="5"/>
      <c r="T220" s="5"/>
      <c r="U220" s="5"/>
      <c r="V220" s="5"/>
      <c r="W220" s="5"/>
      <c r="X220" s="5"/>
      <c r="Y220" s="5"/>
    </row>
    <row r="221" ht="15.75" customHeight="1">
      <c r="A221" s="5"/>
      <c r="B221" s="5"/>
      <c r="C221" s="5"/>
      <c r="D221" s="5"/>
      <c r="E221" s="5"/>
      <c r="F221" s="5"/>
      <c r="G221" s="112"/>
      <c r="H221" s="112"/>
      <c r="I221" s="112"/>
      <c r="J221" s="112"/>
      <c r="K221" s="112"/>
      <c r="L221" s="5"/>
      <c r="M221" s="5"/>
      <c r="N221" s="5"/>
      <c r="O221" s="5"/>
      <c r="P221" s="5"/>
      <c r="Q221" s="5"/>
      <c r="R221" s="5"/>
      <c r="S221" s="5"/>
      <c r="T221" s="5"/>
      <c r="U221" s="5"/>
      <c r="V221" s="5"/>
      <c r="W221" s="5"/>
      <c r="X221" s="5"/>
      <c r="Y221" s="5"/>
    </row>
    <row r="222" ht="15.75" customHeight="1">
      <c r="A222" s="5"/>
      <c r="B222" s="5"/>
      <c r="C222" s="5"/>
      <c r="D222" s="5"/>
      <c r="E222" s="5"/>
      <c r="F222" s="5"/>
      <c r="G222" s="112"/>
      <c r="H222" s="112"/>
      <c r="I222" s="112"/>
      <c r="J222" s="112"/>
      <c r="K222" s="112"/>
      <c r="L222" s="5"/>
      <c r="M222" s="5"/>
      <c r="N222" s="5"/>
      <c r="O222" s="5"/>
      <c r="P222" s="5"/>
      <c r="Q222" s="5"/>
      <c r="R222" s="5"/>
      <c r="S222" s="5"/>
      <c r="T222" s="5"/>
      <c r="U222" s="5"/>
      <c r="V222" s="5"/>
      <c r="W222" s="5"/>
      <c r="X222" s="5"/>
      <c r="Y222" s="5"/>
    </row>
    <row r="223" ht="15.75" customHeight="1">
      <c r="A223" s="5"/>
      <c r="B223" s="5"/>
      <c r="C223" s="5"/>
      <c r="D223" s="5"/>
      <c r="E223" s="5"/>
      <c r="F223" s="5"/>
      <c r="G223" s="112"/>
      <c r="H223" s="112"/>
      <c r="I223" s="112"/>
      <c r="J223" s="112"/>
      <c r="K223" s="112"/>
      <c r="L223" s="5"/>
      <c r="M223" s="5"/>
      <c r="N223" s="5"/>
      <c r="O223" s="5"/>
      <c r="P223" s="5"/>
      <c r="Q223" s="5"/>
      <c r="R223" s="5"/>
      <c r="S223" s="5"/>
      <c r="T223" s="5"/>
      <c r="U223" s="5"/>
      <c r="V223" s="5"/>
      <c r="W223" s="5"/>
      <c r="X223" s="5"/>
      <c r="Y223" s="5"/>
    </row>
    <row r="224" ht="15.75" customHeight="1">
      <c r="A224" s="5"/>
      <c r="B224" s="5"/>
      <c r="C224" s="5"/>
      <c r="D224" s="5"/>
      <c r="E224" s="5"/>
      <c r="F224" s="5"/>
      <c r="G224" s="112"/>
      <c r="H224" s="112"/>
      <c r="I224" s="112"/>
      <c r="J224" s="112"/>
      <c r="K224" s="112"/>
      <c r="L224" s="5"/>
      <c r="M224" s="5"/>
      <c r="N224" s="5"/>
      <c r="O224" s="5"/>
      <c r="P224" s="5"/>
      <c r="Q224" s="5"/>
      <c r="R224" s="5"/>
      <c r="S224" s="5"/>
      <c r="T224" s="5"/>
      <c r="U224" s="5"/>
      <c r="V224" s="5"/>
      <c r="W224" s="5"/>
      <c r="X224" s="5"/>
      <c r="Y224" s="5"/>
    </row>
    <row r="225" ht="15.75" customHeight="1">
      <c r="A225" s="5"/>
      <c r="B225" s="5"/>
      <c r="C225" s="5"/>
      <c r="D225" s="5"/>
      <c r="E225" s="5"/>
      <c r="F225" s="5"/>
      <c r="G225" s="112"/>
      <c r="H225" s="112"/>
      <c r="I225" s="112"/>
      <c r="J225" s="112"/>
      <c r="K225" s="112"/>
      <c r="L225" s="5"/>
      <c r="M225" s="5"/>
      <c r="N225" s="5"/>
      <c r="O225" s="5"/>
      <c r="P225" s="5"/>
      <c r="Q225" s="5"/>
      <c r="R225" s="5"/>
      <c r="S225" s="5"/>
      <c r="T225" s="5"/>
      <c r="U225" s="5"/>
      <c r="V225" s="5"/>
      <c r="W225" s="5"/>
      <c r="X225" s="5"/>
      <c r="Y225" s="5"/>
    </row>
    <row r="226" ht="15.75" customHeight="1">
      <c r="A226" s="5"/>
      <c r="B226" s="5"/>
      <c r="C226" s="5"/>
      <c r="D226" s="5"/>
      <c r="E226" s="5"/>
      <c r="F226" s="5"/>
      <c r="G226" s="112"/>
      <c r="H226" s="112"/>
      <c r="I226" s="112"/>
      <c r="J226" s="112"/>
      <c r="K226" s="112"/>
      <c r="L226" s="5"/>
      <c r="M226" s="5"/>
      <c r="N226" s="5"/>
      <c r="O226" s="5"/>
      <c r="P226" s="5"/>
      <c r="Q226" s="5"/>
      <c r="R226" s="5"/>
      <c r="S226" s="5"/>
      <c r="T226" s="5"/>
      <c r="U226" s="5"/>
      <c r="V226" s="5"/>
      <c r="W226" s="5"/>
      <c r="X226" s="5"/>
      <c r="Y226" s="5"/>
    </row>
    <row r="227" ht="15.75" customHeight="1">
      <c r="A227" s="5"/>
      <c r="B227" s="5"/>
      <c r="C227" s="5"/>
      <c r="D227" s="5"/>
      <c r="E227" s="5"/>
      <c r="F227" s="5"/>
      <c r="G227" s="112"/>
      <c r="H227" s="112"/>
      <c r="I227" s="112"/>
      <c r="J227" s="112"/>
      <c r="K227" s="112"/>
      <c r="L227" s="5"/>
      <c r="M227" s="5"/>
      <c r="N227" s="5"/>
      <c r="O227" s="5"/>
      <c r="P227" s="5"/>
      <c r="Q227" s="5"/>
      <c r="R227" s="5"/>
      <c r="S227" s="5"/>
      <c r="T227" s="5"/>
      <c r="U227" s="5"/>
      <c r="V227" s="5"/>
      <c r="W227" s="5"/>
      <c r="X227" s="5"/>
      <c r="Y227" s="5"/>
    </row>
    <row r="228" ht="15.75" customHeight="1">
      <c r="A228" s="5"/>
      <c r="B228" s="5"/>
      <c r="C228" s="5"/>
      <c r="D228" s="5"/>
      <c r="E228" s="5"/>
      <c r="F228" s="5"/>
      <c r="G228" s="112"/>
      <c r="H228" s="112"/>
      <c r="I228" s="112"/>
      <c r="J228" s="112"/>
      <c r="K228" s="112"/>
      <c r="L228" s="5"/>
      <c r="M228" s="5"/>
      <c r="N228" s="5"/>
      <c r="O228" s="5"/>
      <c r="P228" s="5"/>
      <c r="Q228" s="5"/>
      <c r="R228" s="5"/>
      <c r="S228" s="5"/>
      <c r="T228" s="5"/>
      <c r="U228" s="5"/>
      <c r="V228" s="5"/>
      <c r="W228" s="5"/>
      <c r="X228" s="5"/>
      <c r="Y228" s="5"/>
    </row>
    <row r="229" ht="15.75" customHeight="1">
      <c r="A229" s="5"/>
      <c r="B229" s="5"/>
      <c r="C229" s="5"/>
      <c r="D229" s="5"/>
      <c r="E229" s="5"/>
      <c r="F229" s="5"/>
      <c r="G229" s="112"/>
      <c r="H229" s="112"/>
      <c r="I229" s="112"/>
      <c r="J229" s="112"/>
      <c r="K229" s="112"/>
      <c r="L229" s="5"/>
      <c r="M229" s="5"/>
      <c r="N229" s="5"/>
      <c r="O229" s="5"/>
      <c r="P229" s="5"/>
      <c r="Q229" s="5"/>
      <c r="R229" s="5"/>
      <c r="S229" s="5"/>
      <c r="T229" s="5"/>
      <c r="U229" s="5"/>
      <c r="V229" s="5"/>
      <c r="W229" s="5"/>
      <c r="X229" s="5"/>
      <c r="Y229" s="5"/>
    </row>
    <row r="230" ht="15.75" customHeight="1">
      <c r="A230" s="5"/>
      <c r="B230" s="5"/>
      <c r="C230" s="5"/>
      <c r="D230" s="5"/>
      <c r="E230" s="5"/>
      <c r="F230" s="5"/>
      <c r="G230" s="112"/>
      <c r="H230" s="112"/>
      <c r="I230" s="112"/>
      <c r="J230" s="112"/>
      <c r="K230" s="112"/>
      <c r="L230" s="5"/>
      <c r="M230" s="5"/>
      <c r="N230" s="5"/>
      <c r="O230" s="5"/>
      <c r="P230" s="5"/>
      <c r="Q230" s="5"/>
      <c r="R230" s="5"/>
      <c r="S230" s="5"/>
      <c r="T230" s="5"/>
      <c r="U230" s="5"/>
      <c r="V230" s="5"/>
      <c r="W230" s="5"/>
      <c r="X230" s="5"/>
      <c r="Y230" s="5"/>
    </row>
    <row r="231" ht="15.75" customHeight="1">
      <c r="A231" s="5"/>
      <c r="B231" s="5"/>
      <c r="C231" s="5"/>
      <c r="D231" s="5"/>
      <c r="E231" s="5"/>
      <c r="F231" s="5"/>
      <c r="G231" s="112"/>
      <c r="H231" s="112"/>
      <c r="I231" s="112"/>
      <c r="J231" s="112"/>
      <c r="K231" s="112"/>
      <c r="L231" s="5"/>
      <c r="M231" s="5"/>
      <c r="N231" s="5"/>
      <c r="O231" s="5"/>
      <c r="P231" s="5"/>
      <c r="Q231" s="5"/>
      <c r="R231" s="5"/>
      <c r="S231" s="5"/>
      <c r="T231" s="5"/>
      <c r="U231" s="5"/>
      <c r="V231" s="5"/>
      <c r="W231" s="5"/>
      <c r="X231" s="5"/>
      <c r="Y231" s="5"/>
    </row>
    <row r="232" ht="15.75" customHeight="1">
      <c r="A232" s="5"/>
      <c r="B232" s="5"/>
      <c r="C232" s="5"/>
      <c r="D232" s="5"/>
      <c r="E232" s="5"/>
      <c r="F232" s="5"/>
      <c r="G232" s="112"/>
      <c r="H232" s="112"/>
      <c r="I232" s="112"/>
      <c r="J232" s="112"/>
      <c r="K232" s="112"/>
      <c r="L232" s="5"/>
      <c r="M232" s="5"/>
      <c r="N232" s="5"/>
      <c r="O232" s="5"/>
      <c r="P232" s="5"/>
      <c r="Q232" s="5"/>
      <c r="R232" s="5"/>
      <c r="S232" s="5"/>
      <c r="T232" s="5"/>
      <c r="U232" s="5"/>
      <c r="V232" s="5"/>
      <c r="W232" s="5"/>
      <c r="X232" s="5"/>
      <c r="Y232" s="5"/>
    </row>
    <row r="233" ht="15.75" customHeight="1">
      <c r="A233" s="5"/>
      <c r="B233" s="5"/>
      <c r="C233" s="5"/>
      <c r="D233" s="5"/>
      <c r="E233" s="5"/>
      <c r="F233" s="5"/>
      <c r="G233" s="112"/>
      <c r="H233" s="112"/>
      <c r="I233" s="112"/>
      <c r="J233" s="112"/>
      <c r="K233" s="112"/>
      <c r="L233" s="5"/>
      <c r="M233" s="5"/>
      <c r="N233" s="5"/>
      <c r="O233" s="5"/>
      <c r="P233" s="5"/>
      <c r="Q233" s="5"/>
      <c r="R233" s="5"/>
      <c r="S233" s="5"/>
      <c r="T233" s="5"/>
      <c r="U233" s="5"/>
      <c r="V233" s="5"/>
      <c r="W233" s="5"/>
      <c r="X233" s="5"/>
      <c r="Y233" s="5"/>
    </row>
    <row r="234" ht="15.75" customHeight="1">
      <c r="A234" s="5"/>
      <c r="B234" s="5"/>
      <c r="C234" s="5"/>
      <c r="D234" s="5"/>
      <c r="E234" s="5"/>
      <c r="F234" s="5"/>
      <c r="G234" s="112"/>
      <c r="H234" s="112"/>
      <c r="I234" s="112"/>
      <c r="J234" s="112"/>
      <c r="K234" s="112"/>
      <c r="L234" s="5"/>
      <c r="M234" s="5"/>
      <c r="N234" s="5"/>
      <c r="O234" s="5"/>
      <c r="P234" s="5"/>
      <c r="Q234" s="5"/>
      <c r="R234" s="5"/>
      <c r="S234" s="5"/>
      <c r="T234" s="5"/>
      <c r="U234" s="5"/>
      <c r="V234" s="5"/>
      <c r="W234" s="5"/>
      <c r="X234" s="5"/>
      <c r="Y234" s="5"/>
    </row>
    <row r="235" ht="15.75" customHeight="1">
      <c r="A235" s="5"/>
      <c r="B235" s="5"/>
      <c r="C235" s="5"/>
      <c r="D235" s="5"/>
      <c r="E235" s="5"/>
      <c r="F235" s="5"/>
      <c r="G235" s="112"/>
      <c r="H235" s="112"/>
      <c r="I235" s="112"/>
      <c r="J235" s="112"/>
      <c r="K235" s="112"/>
      <c r="L235" s="5"/>
      <c r="M235" s="5"/>
      <c r="N235" s="5"/>
      <c r="O235" s="5"/>
      <c r="P235" s="5"/>
      <c r="Q235" s="5"/>
      <c r="R235" s="5"/>
      <c r="S235" s="5"/>
      <c r="T235" s="5"/>
      <c r="U235" s="5"/>
      <c r="V235" s="5"/>
      <c r="W235" s="5"/>
      <c r="X235" s="5"/>
      <c r="Y235" s="5"/>
    </row>
    <row r="236" ht="15.75" customHeight="1">
      <c r="A236" s="5"/>
      <c r="B236" s="5"/>
      <c r="C236" s="5"/>
      <c r="D236" s="5"/>
      <c r="E236" s="5"/>
      <c r="F236" s="5"/>
      <c r="G236" s="112"/>
      <c r="H236" s="112"/>
      <c r="I236" s="112"/>
      <c r="J236" s="112"/>
      <c r="K236" s="112"/>
      <c r="L236" s="5"/>
      <c r="M236" s="5"/>
      <c r="N236" s="5"/>
      <c r="O236" s="5"/>
      <c r="P236" s="5"/>
      <c r="Q236" s="5"/>
      <c r="R236" s="5"/>
      <c r="S236" s="5"/>
      <c r="T236" s="5"/>
      <c r="U236" s="5"/>
      <c r="V236" s="5"/>
      <c r="W236" s="5"/>
      <c r="X236" s="5"/>
      <c r="Y236" s="5"/>
    </row>
    <row r="237" ht="15.75" customHeight="1">
      <c r="A237" s="5"/>
      <c r="B237" s="5"/>
      <c r="C237" s="5"/>
      <c r="D237" s="5"/>
      <c r="E237" s="5"/>
      <c r="F237" s="5"/>
      <c r="G237" s="112"/>
      <c r="H237" s="112"/>
      <c r="I237" s="112"/>
      <c r="J237" s="112"/>
      <c r="K237" s="112"/>
      <c r="L237" s="5"/>
      <c r="M237" s="5"/>
      <c r="N237" s="5"/>
      <c r="O237" s="5"/>
      <c r="P237" s="5"/>
      <c r="Q237" s="5"/>
      <c r="R237" s="5"/>
      <c r="S237" s="5"/>
      <c r="T237" s="5"/>
      <c r="U237" s="5"/>
      <c r="V237" s="5"/>
      <c r="W237" s="5"/>
      <c r="X237" s="5"/>
      <c r="Y237" s="5"/>
    </row>
    <row r="238" ht="15.75" customHeight="1">
      <c r="A238" s="5"/>
      <c r="B238" s="5"/>
      <c r="C238" s="5"/>
      <c r="D238" s="5"/>
      <c r="E238" s="5"/>
      <c r="F238" s="5"/>
      <c r="G238" s="112"/>
      <c r="H238" s="112"/>
      <c r="I238" s="112"/>
      <c r="J238" s="112"/>
      <c r="K238" s="112"/>
      <c r="L238" s="5"/>
      <c r="M238" s="5"/>
      <c r="N238" s="5"/>
      <c r="O238" s="5"/>
      <c r="P238" s="5"/>
      <c r="Q238" s="5"/>
      <c r="R238" s="5"/>
      <c r="S238" s="5"/>
      <c r="T238" s="5"/>
      <c r="U238" s="5"/>
      <c r="V238" s="5"/>
      <c r="W238" s="5"/>
      <c r="X238" s="5"/>
      <c r="Y238" s="5"/>
    </row>
    <row r="239" ht="15.75" customHeight="1">
      <c r="A239" s="5"/>
      <c r="B239" s="5"/>
      <c r="C239" s="5"/>
      <c r="D239" s="5"/>
      <c r="E239" s="5"/>
      <c r="F239" s="5"/>
      <c r="G239" s="112"/>
      <c r="H239" s="112"/>
      <c r="I239" s="112"/>
      <c r="J239" s="112"/>
      <c r="K239" s="112"/>
      <c r="L239" s="5"/>
      <c r="M239" s="5"/>
      <c r="N239" s="5"/>
      <c r="O239" s="5"/>
      <c r="P239" s="5"/>
      <c r="Q239" s="5"/>
      <c r="R239" s="5"/>
      <c r="S239" s="5"/>
      <c r="T239" s="5"/>
      <c r="U239" s="5"/>
      <c r="V239" s="5"/>
      <c r="W239" s="5"/>
      <c r="X239" s="5"/>
      <c r="Y239" s="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K14 K16 O13">
    <cfRule type="colorScale" priority="3">
      <colorScale>
        <cfvo type="min"/>
        <cfvo type="percentile" val="50"/>
        <cfvo type="max"/>
        <color rgb="FFF8696B"/>
        <color rgb="FFFFEB84"/>
        <color rgb="FF63BE7B"/>
      </colorScale>
    </cfRule>
  </conditionalFormatting>
  <conditionalFormatting sqref="A26:K26 A40:K40">
    <cfRule type="notContainsBlanks" dxfId="7" priority="4">
      <formula>LEN(TRIM(A26))&gt;0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2" width="7.86"/>
    <col customWidth="1" min="3" max="5" width="12.43"/>
    <col customWidth="1" min="6" max="17" width="8.71"/>
  </cols>
  <sheetData>
    <row r="1">
      <c r="A1" s="9" t="str">
        <f>Language!C5</f>
        <v>Nombre del/de la estudiante:</v>
      </c>
      <c r="B1" s="115" t="str">
        <f>RubricTutor!D4</f>
        <v/>
      </c>
      <c r="C1" s="10"/>
      <c r="D1" s="10"/>
      <c r="E1" s="12"/>
      <c r="F1" s="16"/>
      <c r="G1" s="16"/>
      <c r="H1" s="16"/>
      <c r="O1" s="5"/>
      <c r="P1" s="5"/>
      <c r="Q1" s="5"/>
    </row>
    <row r="2">
      <c r="A2" s="15" t="str">
        <f>Language!C6</f>
        <v>Título del trabajo:</v>
      </c>
      <c r="B2" s="16" t="str">
        <f>RubricTutor!D5</f>
        <v/>
      </c>
      <c r="E2" s="17"/>
      <c r="F2" s="16"/>
      <c r="G2" s="16"/>
      <c r="H2" s="16"/>
      <c r="O2" s="5"/>
      <c r="P2" s="5"/>
      <c r="Q2" s="5"/>
    </row>
    <row r="3">
      <c r="A3" s="20" t="str">
        <f>Language!C9</f>
        <v>Tutor/a:</v>
      </c>
      <c r="B3" s="116" t="str">
        <f>RubricTutor!D8</f>
        <v/>
      </c>
      <c r="C3" s="21"/>
      <c r="D3" s="21"/>
      <c r="E3" s="23"/>
      <c r="F3" s="16"/>
      <c r="G3" s="16"/>
      <c r="H3" s="16"/>
      <c r="O3" s="5"/>
      <c r="P3" s="5"/>
      <c r="Q3" s="5"/>
    </row>
    <row r="4" ht="20.25" customHeight="1">
      <c r="A4" s="141"/>
      <c r="B4" s="142"/>
      <c r="C4" s="142"/>
      <c r="D4" s="142"/>
      <c r="E4" s="142"/>
      <c r="F4" s="5"/>
      <c r="G4" s="5"/>
      <c r="H4" s="5"/>
      <c r="I4" s="5"/>
      <c r="J4" s="5"/>
      <c r="K4" s="5"/>
      <c r="L4" s="5"/>
      <c r="M4" s="5"/>
      <c r="N4" s="5"/>
      <c r="O4" s="5"/>
      <c r="P4" s="5"/>
      <c r="Q4" s="5"/>
    </row>
    <row r="5" ht="20.25" customHeight="1">
      <c r="A5" s="141"/>
      <c r="B5" s="142"/>
      <c r="C5" s="143" t="str">
        <f>Language!C10</f>
        <v>Evaluador/a 1:</v>
      </c>
      <c r="D5" s="143" t="str">
        <f>Language!C11</f>
        <v>Evaluador/a 2:</v>
      </c>
      <c r="E5" s="144" t="str">
        <f>Language!C12</f>
        <v>Evaluador/a 3:</v>
      </c>
      <c r="F5" s="5"/>
      <c r="G5" s="5"/>
      <c r="H5" s="5"/>
      <c r="I5" s="5"/>
      <c r="J5" s="5"/>
      <c r="K5" s="5"/>
      <c r="L5" s="5"/>
      <c r="M5" s="5"/>
      <c r="N5" s="5"/>
      <c r="O5" s="5"/>
      <c r="P5" s="5"/>
      <c r="Q5" s="5"/>
    </row>
    <row r="6">
      <c r="A6" s="145" t="str">
        <f>Language!C66</f>
        <v>Nombre evaluadores/as:</v>
      </c>
      <c r="B6" s="26"/>
      <c r="C6" s="146" t="str">
        <f>RubricTutor!D9</f>
        <v/>
      </c>
      <c r="D6" s="146" t="str">
        <f>RubricTutor!D10</f>
        <v/>
      </c>
      <c r="E6" s="147" t="str">
        <f>RubricTutor!D11</f>
        <v/>
      </c>
      <c r="F6" s="148"/>
      <c r="G6" s="5"/>
      <c r="H6" s="5"/>
      <c r="I6" s="5"/>
      <c r="J6" s="5"/>
      <c r="K6" s="5"/>
      <c r="L6" s="5"/>
      <c r="M6" s="5"/>
      <c r="N6" s="5"/>
      <c r="O6" s="5"/>
      <c r="P6" s="5"/>
      <c r="Q6" s="5"/>
    </row>
    <row r="7">
      <c r="A7" s="145" t="str">
        <f>Language!C67</f>
        <v>Participación evaluador/a (0: no participa; 1: participa)</v>
      </c>
      <c r="B7" s="26"/>
      <c r="C7" s="149">
        <v>1.0</v>
      </c>
      <c r="D7" s="149">
        <v>1.0</v>
      </c>
      <c r="E7" s="150">
        <v>1.0</v>
      </c>
      <c r="F7" s="148"/>
      <c r="G7" s="5"/>
      <c r="H7" s="5"/>
      <c r="I7" s="5"/>
      <c r="J7" s="5"/>
      <c r="K7" s="5"/>
      <c r="L7" s="5"/>
      <c r="M7" s="5"/>
      <c r="N7" s="5"/>
      <c r="O7" s="5"/>
      <c r="P7" s="5"/>
      <c r="Q7" s="5"/>
    </row>
    <row r="8" ht="18.75" customHeight="1">
      <c r="A8" s="151" t="str">
        <f>Language!C31</f>
        <v>Aspectos metodológicos</v>
      </c>
      <c r="B8" s="152" t="str">
        <f>Language!C25</f>
        <v>Peso</v>
      </c>
      <c r="C8" s="153" t="str">
        <f>Language!C26</f>
        <v>Nota</v>
      </c>
      <c r="D8" s="154" t="str">
        <f>Language!C26</f>
        <v>Nota</v>
      </c>
      <c r="E8" s="155" t="str">
        <f>Language!C26</f>
        <v>Nota</v>
      </c>
      <c r="F8" s="41" t="str">
        <f>Language!C28</f>
        <v>Nota media</v>
      </c>
      <c r="G8" s="34"/>
      <c r="H8" s="5"/>
      <c r="I8" s="5"/>
      <c r="J8" s="5"/>
      <c r="K8" s="5"/>
      <c r="L8" s="5"/>
      <c r="M8" s="5"/>
      <c r="N8" s="5"/>
      <c r="O8" s="5"/>
      <c r="P8" s="5"/>
      <c r="Q8" s="5"/>
    </row>
    <row r="9" ht="18.75" customHeight="1">
      <c r="A9" s="156" t="str">
        <f>Language!C32</f>
        <v>Definición de unos objetivos claros, concretos, realistas y adecuados</v>
      </c>
      <c r="B9" s="157">
        <v>1.0</v>
      </c>
      <c r="C9" s="158" t="str">
        <f>RubricExaminer1!G16</f>
        <v>N</v>
      </c>
      <c r="D9" s="159" t="str">
        <f>RubricExaminer2!G16</f>
        <v>N</v>
      </c>
      <c r="E9" s="160" t="str">
        <f>RubricExaminer3!G16</f>
        <v>N</v>
      </c>
      <c r="F9" s="161">
        <f t="shared" ref="F9:F10" si="1">ROUND(SUMPRODUCT(C$7:E$7,C9:E9)/SUM(C$7:E$7),1)</f>
        <v>0</v>
      </c>
      <c r="G9" s="162" t="str">
        <f t="shared" ref="G9:G10" si="2">IF(ISNUMBER(F9),IF(F9&gt;=9,"A",IF(F9&gt;=7,"B",IF(F9&gt;=5,"C+",IF(F9&gt;=3,"C-","D")))),"N")</f>
        <v>D</v>
      </c>
      <c r="H9" s="5"/>
      <c r="I9" s="5"/>
      <c r="J9" s="5"/>
      <c r="K9" s="5"/>
      <c r="L9" s="5"/>
      <c r="M9" s="5"/>
      <c r="N9" s="5"/>
      <c r="O9" s="5"/>
      <c r="P9" s="5"/>
      <c r="Q9" s="5"/>
    </row>
    <row r="10" ht="18.0" customHeight="1">
      <c r="A10" s="163" t="str">
        <f>Language!C33</f>
        <v>Definición de la metodología, planificación temporal y de recursos</v>
      </c>
      <c r="B10" s="164">
        <v>1.0</v>
      </c>
      <c r="C10" s="165" t="str">
        <f>RubricExaminer1!G17</f>
        <v>N</v>
      </c>
      <c r="D10" s="166" t="str">
        <f>RubricExaminer2!G17</f>
        <v>N</v>
      </c>
      <c r="E10" s="167" t="str">
        <f>RubricExaminer3!G17</f>
        <v>N</v>
      </c>
      <c r="F10" s="168">
        <f t="shared" si="1"/>
        <v>0</v>
      </c>
      <c r="G10" s="169" t="str">
        <f t="shared" si="2"/>
        <v>D</v>
      </c>
      <c r="H10" s="5"/>
      <c r="I10" s="5"/>
      <c r="J10" s="5"/>
      <c r="K10" s="5"/>
      <c r="L10" s="5"/>
      <c r="M10" s="5"/>
      <c r="N10" s="5"/>
      <c r="O10" s="5"/>
      <c r="P10" s="5"/>
      <c r="Q10" s="5"/>
    </row>
    <row r="11" ht="18.75" customHeight="1">
      <c r="A11" s="38" t="str">
        <f>Language!C34</f>
        <v>Especificación y diseño</v>
      </c>
      <c r="B11" s="27"/>
      <c r="C11" s="27"/>
      <c r="D11" s="27"/>
      <c r="E11" s="26"/>
      <c r="F11" s="170"/>
      <c r="G11" s="5"/>
      <c r="H11" s="5"/>
      <c r="I11" s="5"/>
      <c r="J11" s="5"/>
      <c r="K11" s="5"/>
      <c r="L11" s="5"/>
      <c r="M11" s="5"/>
      <c r="N11" s="5"/>
      <c r="O11" s="5"/>
      <c r="P11" s="5"/>
      <c r="Q11" s="5"/>
    </row>
    <row r="12" ht="28.5" customHeight="1">
      <c r="A12" s="171" t="str">
        <f>Language!C35</f>
        <v>Estudio previo e identificación de los aspectos relevantes del problema y de su solución (e.g. estado del arte, estudio de mercado)</v>
      </c>
      <c r="B12" s="172">
        <v>1.0</v>
      </c>
      <c r="C12" s="158" t="str">
        <f>RubricExaminer1!G19</f>
        <v>N</v>
      </c>
      <c r="D12" s="159" t="str">
        <f>RubricExaminer2!G19</f>
        <v>N</v>
      </c>
      <c r="E12" s="160" t="str">
        <f>RubricExaminer3!G19</f>
        <v>N</v>
      </c>
      <c r="F12" s="173">
        <f t="shared" ref="F12:F16" si="3">ROUND(SUMPRODUCT(C$7:E$7,C12:E12)/SUM(C$7:E$7),1)</f>
        <v>0</v>
      </c>
      <c r="G12" s="174" t="str">
        <f t="shared" ref="G12:G16" si="4">IF(ISNUMBER(F12),IF(F12&gt;=9,"A",IF(F12&gt;=7,"B",IF(F12&gt;=5,"C+",IF(F12&gt;=3,"C-","D")))),"N")</f>
        <v>D</v>
      </c>
      <c r="H12" s="5"/>
      <c r="I12" s="5"/>
      <c r="J12" s="5"/>
      <c r="K12" s="5"/>
      <c r="L12" s="5"/>
      <c r="M12" s="5"/>
      <c r="N12" s="5"/>
      <c r="O12" s="5"/>
      <c r="P12" s="5"/>
      <c r="Q12" s="5"/>
    </row>
    <row r="13" ht="18.75" customHeight="1">
      <c r="A13" s="175" t="str">
        <f>Language!C36</f>
        <v>Análisis de requerimientos</v>
      </c>
      <c r="B13" s="176">
        <v>1.0</v>
      </c>
      <c r="C13" s="177" t="str">
        <f>RubricExaminer1!G20</f>
        <v>N</v>
      </c>
      <c r="D13" s="178" t="str">
        <f>RubricExaminer2!G20</f>
        <v>N</v>
      </c>
      <c r="E13" s="179" t="str">
        <f>RubricExaminer3!G20</f>
        <v>N</v>
      </c>
      <c r="F13" s="180">
        <f t="shared" si="3"/>
        <v>0</v>
      </c>
      <c r="G13" s="181" t="str">
        <f t="shared" si="4"/>
        <v>D</v>
      </c>
      <c r="H13" s="5"/>
      <c r="I13" s="5"/>
      <c r="J13" s="5"/>
      <c r="K13" s="5"/>
      <c r="L13" s="5"/>
      <c r="M13" s="5"/>
      <c r="N13" s="5"/>
      <c r="O13" s="5"/>
      <c r="P13" s="5"/>
      <c r="Q13" s="5"/>
    </row>
    <row r="14" ht="18.75" customHeight="1">
      <c r="A14" s="175" t="str">
        <f>Language!C37</f>
        <v>Diseño adecuado de la propuesta</v>
      </c>
      <c r="B14" s="182">
        <v>2.0</v>
      </c>
      <c r="C14" s="177" t="str">
        <f>RubricExaminer1!G21</f>
        <v>N</v>
      </c>
      <c r="D14" s="178" t="str">
        <f>RubricExaminer2!G21</f>
        <v>N</v>
      </c>
      <c r="E14" s="179" t="str">
        <f>RubricExaminer3!G21</f>
        <v>N</v>
      </c>
      <c r="F14" s="180">
        <f t="shared" si="3"/>
        <v>0</v>
      </c>
      <c r="G14" s="181" t="str">
        <f t="shared" si="4"/>
        <v>D</v>
      </c>
      <c r="H14" s="5"/>
      <c r="I14" s="5"/>
      <c r="J14" s="5"/>
      <c r="K14" s="5"/>
      <c r="L14" s="5"/>
      <c r="M14" s="5"/>
      <c r="N14" s="5"/>
      <c r="O14" s="5"/>
      <c r="P14" s="5"/>
      <c r="Q14" s="5"/>
    </row>
    <row r="15" ht="18.75" customHeight="1">
      <c r="A15" s="171" t="str">
        <f>Language!C38</f>
        <v>Elección de herramientas, tecnologías y fuentes de información adecuadas para el desarrollo del trabajo</v>
      </c>
      <c r="B15" s="157">
        <v>1.0</v>
      </c>
      <c r="C15" s="177" t="str">
        <f>RubricExaminer1!G22</f>
        <v>N</v>
      </c>
      <c r="D15" s="178" t="str">
        <f>RubricExaminer2!G22</f>
        <v>N</v>
      </c>
      <c r="E15" s="179" t="str">
        <f>RubricExaminer3!G22</f>
        <v>N</v>
      </c>
      <c r="F15" s="180">
        <f t="shared" si="3"/>
        <v>0</v>
      </c>
      <c r="G15" s="181" t="str">
        <f t="shared" si="4"/>
        <v>D</v>
      </c>
      <c r="H15" s="5"/>
      <c r="I15" s="5"/>
      <c r="J15" s="5"/>
      <c r="K15" s="5"/>
      <c r="L15" s="5"/>
      <c r="M15" s="5"/>
      <c r="N15" s="5"/>
      <c r="O15" s="5"/>
      <c r="P15" s="5"/>
      <c r="Q15" s="5"/>
    </row>
    <row r="16" ht="31.5" customHeight="1">
      <c r="A16" s="183" t="str">
        <f>Language!C39</f>
        <v>Grado de análisis y tratamiento del impacto ético-social, de sostenibilidad y de diversidad del trabajo</v>
      </c>
      <c r="B16" s="164">
        <v>1.0</v>
      </c>
      <c r="C16" s="165" t="str">
        <f>RubricExaminer1!G23</f>
        <v>N</v>
      </c>
      <c r="D16" s="166" t="str">
        <f>RubricExaminer2!G23</f>
        <v>N</v>
      </c>
      <c r="E16" s="167" t="str">
        <f>RubricExaminer3!G23</f>
        <v>N</v>
      </c>
      <c r="F16" s="168">
        <f t="shared" si="3"/>
        <v>0</v>
      </c>
      <c r="G16" s="184" t="str">
        <f t="shared" si="4"/>
        <v>D</v>
      </c>
      <c r="H16" s="5"/>
      <c r="I16" s="5"/>
      <c r="J16" s="5"/>
      <c r="K16" s="5"/>
      <c r="L16" s="5"/>
      <c r="M16" s="5"/>
      <c r="N16" s="5"/>
      <c r="O16" s="5"/>
      <c r="P16" s="5"/>
      <c r="Q16" s="5"/>
    </row>
    <row r="17" ht="18.75" customHeight="1">
      <c r="A17" s="38" t="str">
        <f>Language!C40</f>
        <v>Ejecución e implementación del proyecto</v>
      </c>
      <c r="B17" s="27"/>
      <c r="C17" s="27"/>
      <c r="D17" s="27"/>
      <c r="E17" s="26"/>
      <c r="F17" s="185"/>
      <c r="G17" s="5"/>
      <c r="H17" s="5"/>
      <c r="I17" s="5"/>
      <c r="J17" s="5"/>
      <c r="K17" s="5"/>
      <c r="L17" s="5"/>
      <c r="M17" s="5"/>
      <c r="N17" s="5"/>
      <c r="O17" s="5"/>
      <c r="P17" s="5"/>
      <c r="Q17" s="5"/>
    </row>
    <row r="18" ht="28.5" customHeight="1">
      <c r="A18" s="183" t="str">
        <f>Language!C42</f>
        <v>Calidad de la contribución técnica y/o científica del proyecto. Calidad de la solución/producto en desarrollo/obtenido</v>
      </c>
      <c r="B18" s="172">
        <v>3.0</v>
      </c>
      <c r="C18" s="158" t="str">
        <f>RubricExaminer1!G25</f>
        <v>N</v>
      </c>
      <c r="D18" s="159" t="str">
        <f>RubricExaminer2!G25</f>
        <v>N</v>
      </c>
      <c r="E18" s="160" t="str">
        <f>RubricExaminer3!G25</f>
        <v>N</v>
      </c>
      <c r="F18" s="173">
        <f t="shared" ref="F18:F20" si="5">ROUND(SUMPRODUCT(C$7:E$7,C18:E18)/SUM(C$7:E$7),1)</f>
        <v>0</v>
      </c>
      <c r="G18" s="174" t="str">
        <f t="shared" ref="G18:G20" si="6">IF(ISNUMBER(F18),IF(F18&gt;=9,"A",IF(F18&gt;=7,"B",IF(F18&gt;=5,"C+",IF(F18&gt;=3,"C-","D")))),"N")</f>
        <v>D</v>
      </c>
      <c r="H18" s="5"/>
      <c r="I18" s="5"/>
      <c r="J18" s="5"/>
      <c r="K18" s="5"/>
      <c r="L18" s="5"/>
      <c r="M18" s="5"/>
      <c r="N18" s="5"/>
      <c r="O18" s="5"/>
      <c r="P18" s="5"/>
      <c r="Q18" s="5"/>
    </row>
    <row r="19" ht="18.75" customHeight="1">
      <c r="A19" s="175" t="str">
        <f>Language!C43</f>
        <v>Grado de innovación de la solución presentada</v>
      </c>
      <c r="B19" s="182">
        <v>1.0</v>
      </c>
      <c r="C19" s="177" t="str">
        <f>RubricExaminer1!G26</f>
        <v>N</v>
      </c>
      <c r="D19" s="178" t="str">
        <f>RubricExaminer2!G26</f>
        <v>N</v>
      </c>
      <c r="E19" s="179" t="str">
        <f>RubricExaminer3!G26</f>
        <v>N</v>
      </c>
      <c r="F19" s="180">
        <f t="shared" si="5"/>
        <v>0</v>
      </c>
      <c r="G19" s="181" t="str">
        <f t="shared" si="6"/>
        <v>D</v>
      </c>
      <c r="H19" s="5"/>
      <c r="I19" s="5"/>
      <c r="J19" s="5"/>
      <c r="K19" s="5"/>
      <c r="L19" s="5"/>
      <c r="M19" s="5"/>
      <c r="N19" s="5"/>
      <c r="O19" s="5"/>
      <c r="P19" s="5"/>
      <c r="Q19" s="5"/>
    </row>
    <row r="20" ht="18.75" customHeight="1">
      <c r="A20" s="183" t="str">
        <f>Language!C44</f>
        <v>Conclusiones y discusión de los resultados</v>
      </c>
      <c r="B20" s="172">
        <v>2.0</v>
      </c>
      <c r="C20" s="165" t="str">
        <f>RubricExaminer1!G27</f>
        <v>N</v>
      </c>
      <c r="D20" s="166" t="str">
        <f>RubricExaminer2!G27</f>
        <v>N</v>
      </c>
      <c r="E20" s="167" t="str">
        <f>RubricExaminer3!G27</f>
        <v>N</v>
      </c>
      <c r="F20" s="168">
        <f t="shared" si="5"/>
        <v>0</v>
      </c>
      <c r="G20" s="184" t="str">
        <f t="shared" si="6"/>
        <v>D</v>
      </c>
      <c r="H20" s="5"/>
      <c r="I20" s="5"/>
      <c r="J20" s="5"/>
      <c r="K20" s="5"/>
      <c r="L20" s="5"/>
      <c r="M20" s="5"/>
      <c r="N20" s="5"/>
      <c r="O20" s="5"/>
      <c r="P20" s="5"/>
      <c r="Q20" s="5"/>
    </row>
    <row r="21" ht="18.75" customHeight="1">
      <c r="A21" s="38" t="str">
        <f>Language!C45</f>
        <v>Aspectos formales de la memoria</v>
      </c>
      <c r="B21" s="27"/>
      <c r="C21" s="27"/>
      <c r="D21" s="27"/>
      <c r="E21" s="26"/>
      <c r="F21" s="185"/>
      <c r="G21" s="5"/>
      <c r="H21" s="5"/>
      <c r="I21" s="5"/>
      <c r="J21" s="5"/>
      <c r="K21" s="5"/>
      <c r="L21" s="5"/>
      <c r="M21" s="5"/>
      <c r="N21" s="5"/>
      <c r="O21" s="5"/>
      <c r="P21" s="5"/>
      <c r="Q21" s="5"/>
    </row>
    <row r="22" ht="18.75" customHeight="1">
      <c r="A22" s="171" t="str">
        <f>Language!C46</f>
        <v>Redacción adecuada, utilización flexible de un lenguaje inclusivo, y organización clara y correcta del contenido</v>
      </c>
      <c r="B22" s="172">
        <v>2.0</v>
      </c>
      <c r="C22" s="158" t="str">
        <f>RubricExaminer1!G29</f>
        <v>N</v>
      </c>
      <c r="D22" s="159" t="str">
        <f>RubricExaminer2!G29</f>
        <v>N</v>
      </c>
      <c r="E22" s="160" t="str">
        <f>RubricExaminer3!G29</f>
        <v>N</v>
      </c>
      <c r="F22" s="173">
        <f t="shared" ref="F22:F23" si="7">ROUND(SUMPRODUCT(C$7:E$7,C22:E22)/SUM(C$7:E$7),1)</f>
        <v>0</v>
      </c>
      <c r="G22" s="174" t="str">
        <f t="shared" ref="G22:G23" si="8">IF(ISNUMBER(F22),IF(F22&gt;=9,"A",IF(F22&gt;=7,"B",IF(F22&gt;=5,"C+",IF(F22&gt;=3,"C-","D")))),"N")</f>
        <v>D</v>
      </c>
      <c r="H22" s="5"/>
      <c r="I22" s="5"/>
      <c r="J22" s="5"/>
      <c r="K22" s="5"/>
      <c r="L22" s="5"/>
      <c r="M22" s="5"/>
      <c r="N22" s="5"/>
      <c r="O22" s="5"/>
      <c r="P22" s="5"/>
      <c r="Q22" s="5"/>
    </row>
    <row r="23" ht="18.75" customHeight="1">
      <c r="A23" s="183" t="str">
        <f>Language!C47</f>
        <v>Fuentes de información y referencias bibliográficas</v>
      </c>
      <c r="B23" s="176">
        <v>1.0</v>
      </c>
      <c r="C23" s="165" t="str">
        <f>RubricExaminer1!G30</f>
        <v>N</v>
      </c>
      <c r="D23" s="166" t="str">
        <f>RubricExaminer2!G30</f>
        <v>N</v>
      </c>
      <c r="E23" s="167" t="str">
        <f>RubricExaminer3!G30</f>
        <v>N</v>
      </c>
      <c r="F23" s="168">
        <f t="shared" si="7"/>
        <v>0</v>
      </c>
      <c r="G23" s="184" t="str">
        <f t="shared" si="8"/>
        <v>D</v>
      </c>
      <c r="H23" s="5"/>
      <c r="I23" s="5"/>
      <c r="J23" s="5"/>
      <c r="K23" s="5"/>
      <c r="L23" s="5"/>
      <c r="M23" s="5"/>
      <c r="N23" s="5"/>
      <c r="O23" s="5"/>
      <c r="P23" s="5"/>
      <c r="Q23" s="5"/>
    </row>
    <row r="24" ht="18.75" customHeight="1">
      <c r="A24" s="38" t="str">
        <f>Language!C48</f>
        <v>Defensa del proyecto</v>
      </c>
      <c r="B24" s="27"/>
      <c r="C24" s="27"/>
      <c r="D24" s="27"/>
      <c r="E24" s="26"/>
      <c r="F24" s="185"/>
      <c r="G24" s="5"/>
      <c r="H24" s="5"/>
      <c r="I24" s="5"/>
      <c r="J24" s="5"/>
      <c r="K24" s="5"/>
      <c r="L24" s="5"/>
      <c r="M24" s="5"/>
      <c r="N24" s="5"/>
      <c r="O24" s="5"/>
      <c r="P24" s="5"/>
      <c r="Q24" s="5"/>
    </row>
    <row r="25" ht="18.75" customHeight="1">
      <c r="A25" s="171" t="str">
        <f>Language!C49</f>
        <v>Calidad de la presentación oral y de los recursos visuales</v>
      </c>
      <c r="B25" s="172">
        <v>1.0</v>
      </c>
      <c r="C25" s="177" t="str">
        <f>RubricExaminer1!G32</f>
        <v>N</v>
      </c>
      <c r="D25" s="159" t="str">
        <f>RubricExaminer2!G32</f>
        <v>N</v>
      </c>
      <c r="E25" s="160" t="str">
        <f>RubricExaminer3!G32</f>
        <v>N</v>
      </c>
      <c r="F25" s="173">
        <f t="shared" ref="F25:F26" si="9">ROUND(SUMPRODUCT(C$7:E$7,C25:E25)/SUM(C$7:E$7),1)</f>
        <v>0</v>
      </c>
      <c r="G25" s="174" t="str">
        <f t="shared" ref="G25:G26" si="10">IF(ISNUMBER(F25),IF(F25&gt;=9,"A",IF(F25&gt;=7,"B",IF(F25&gt;=5,"C+",IF(F25&gt;=3,"C-","D")))),"N")</f>
        <v>D</v>
      </c>
      <c r="H25" s="5"/>
      <c r="I25" s="5"/>
      <c r="J25" s="5"/>
      <c r="K25" s="5"/>
      <c r="L25" s="5"/>
      <c r="M25" s="5"/>
      <c r="N25" s="5"/>
      <c r="O25" s="5"/>
      <c r="P25" s="5"/>
      <c r="Q25" s="5"/>
    </row>
    <row r="26" ht="18.75" customHeight="1">
      <c r="A26" s="183" t="str">
        <f>Language!C50</f>
        <v>Respuesta clara y fundamentada a las preguntas de la comisión</v>
      </c>
      <c r="B26" s="176">
        <v>1.0</v>
      </c>
      <c r="C26" s="165" t="str">
        <f>RubricExaminer1!G33</f>
        <v>N</v>
      </c>
      <c r="D26" s="166" t="str">
        <f>RubricExaminer2!G33</f>
        <v>N</v>
      </c>
      <c r="E26" s="167" t="str">
        <f>RubricExaminer3!G33</f>
        <v>N</v>
      </c>
      <c r="F26" s="168">
        <f t="shared" si="9"/>
        <v>0</v>
      </c>
      <c r="G26" s="184" t="str">
        <f t="shared" si="10"/>
        <v>D</v>
      </c>
      <c r="H26" s="5"/>
      <c r="I26" s="5"/>
      <c r="J26" s="5"/>
      <c r="K26" s="5"/>
      <c r="L26" s="5"/>
      <c r="M26" s="5"/>
      <c r="N26" s="5"/>
      <c r="O26" s="5"/>
      <c r="P26" s="5"/>
      <c r="Q26" s="5"/>
    </row>
    <row r="27" ht="18.75" customHeight="1">
      <c r="A27" s="105" t="str">
        <f>Language!C27</f>
        <v>Final</v>
      </c>
      <c r="B27" s="27"/>
      <c r="C27" s="186">
        <f t="shared" ref="C27:F27" si="11">ROUND(SUMPRODUCT($B9:$B26,C9:C26)/SUM($B9:$B26),1)</f>
        <v>0</v>
      </c>
      <c r="D27" s="186">
        <f t="shared" si="11"/>
        <v>0</v>
      </c>
      <c r="E27" s="187">
        <f t="shared" si="11"/>
        <v>0</v>
      </c>
      <c r="F27" s="188">
        <f t="shared" si="11"/>
        <v>0</v>
      </c>
      <c r="G27" s="5"/>
      <c r="H27" s="5"/>
      <c r="I27" s="5"/>
      <c r="J27" s="5"/>
      <c r="K27" s="5"/>
      <c r="L27" s="5"/>
      <c r="M27" s="5"/>
      <c r="N27" s="5"/>
      <c r="O27" s="5"/>
      <c r="P27" s="5"/>
      <c r="Q27" s="5"/>
    </row>
    <row r="28" ht="18.75" customHeight="1">
      <c r="A28" s="5"/>
      <c r="C28" s="189" t="str">
        <f t="shared" ref="C28:F28" si="12">IF(C27&gt;=9,"A",IF(C27&gt;=7,"B",IF(C27&gt;=5,"C+",IF(C27&gt;=3,"C-","D"))))</f>
        <v>D</v>
      </c>
      <c r="D28" s="189" t="str">
        <f t="shared" si="12"/>
        <v>D</v>
      </c>
      <c r="E28" s="189" t="str">
        <f t="shared" si="12"/>
        <v>D</v>
      </c>
      <c r="F28" s="135" t="str">
        <f t="shared" si="12"/>
        <v>D</v>
      </c>
      <c r="G28" s="190"/>
      <c r="H28" s="5"/>
      <c r="I28" s="5"/>
      <c r="J28" s="5"/>
      <c r="K28" s="5"/>
      <c r="L28" s="5"/>
      <c r="M28" s="5"/>
      <c r="N28" s="5"/>
      <c r="O28" s="5"/>
      <c r="P28" s="5"/>
      <c r="Q28" s="5"/>
    </row>
    <row r="29" ht="18.75" customHeight="1">
      <c r="A29" s="191" t="str">
        <f>Language!C65</f>
        <v>Trabajo propuesto para matrícula de honor</v>
      </c>
      <c r="C29" s="61" t="b">
        <f>RubricExaminer1!G37</f>
        <v>0</v>
      </c>
      <c r="D29" s="61" t="b">
        <f>RubricExaminer2!G37</f>
        <v>0</v>
      </c>
      <c r="E29" s="61" t="b">
        <f>RubricExaminer3!G37</f>
        <v>0</v>
      </c>
      <c r="F29" s="110"/>
      <c r="G29" s="190"/>
      <c r="H29" s="5"/>
      <c r="I29" s="5"/>
      <c r="J29" s="5"/>
      <c r="K29" s="5"/>
      <c r="L29" s="5"/>
      <c r="M29" s="5"/>
      <c r="N29" s="5"/>
      <c r="O29" s="5"/>
      <c r="P29" s="5"/>
      <c r="Q29" s="5"/>
    </row>
    <row r="30" ht="18.75" customHeight="1">
      <c r="A30" s="110"/>
      <c r="B30" s="110"/>
      <c r="C30" s="110"/>
      <c r="D30" s="110"/>
      <c r="E30" s="110"/>
      <c r="F30" s="190"/>
      <c r="G30" s="5"/>
      <c r="H30" s="5"/>
      <c r="I30" s="5"/>
      <c r="J30" s="5"/>
      <c r="K30" s="5"/>
      <c r="L30" s="5"/>
      <c r="M30" s="5"/>
      <c r="N30" s="5"/>
      <c r="O30" s="5"/>
      <c r="P30" s="5"/>
      <c r="Q30" s="5"/>
    </row>
    <row r="31" ht="18.75" customHeight="1">
      <c r="A31" s="192" t="str">
        <f>Language!C68</f>
        <v>Evaluador/a 1. Observaciones y recomendaciones:</v>
      </c>
      <c r="B31" s="33"/>
      <c r="C31" s="33"/>
      <c r="D31" s="33"/>
      <c r="E31" s="34"/>
      <c r="F31" s="190"/>
      <c r="G31" s="5"/>
      <c r="H31" s="5"/>
      <c r="I31" s="5"/>
      <c r="J31" s="5"/>
      <c r="K31" s="5"/>
      <c r="L31" s="5"/>
      <c r="M31" s="5"/>
      <c r="N31" s="5"/>
      <c r="O31" s="5"/>
      <c r="P31" s="5"/>
      <c r="Q31" s="5"/>
    </row>
    <row r="32" ht="59.25" customHeight="1">
      <c r="A32" s="193" t="str">
        <f>RubricExaminer1!A40</f>
        <v/>
      </c>
      <c r="B32" s="138"/>
      <c r="C32" s="138"/>
      <c r="D32" s="138"/>
      <c r="E32" s="139"/>
      <c r="F32" s="194"/>
      <c r="G32" s="5"/>
      <c r="H32" s="5"/>
      <c r="I32" s="5"/>
      <c r="J32" s="5"/>
      <c r="K32" s="5"/>
      <c r="L32" s="5"/>
      <c r="M32" s="5"/>
      <c r="N32" s="5"/>
      <c r="O32" s="5"/>
      <c r="P32" s="5"/>
      <c r="Q32" s="5"/>
    </row>
    <row r="33" ht="17.25" customHeight="1">
      <c r="A33" s="192" t="str">
        <f>Language!C69</f>
        <v>Evaluador/a 2. Observaciones y recomendaciones:</v>
      </c>
      <c r="B33" s="33"/>
      <c r="C33" s="33"/>
      <c r="D33" s="33"/>
      <c r="E33" s="34"/>
      <c r="F33" s="5"/>
      <c r="G33" s="5"/>
      <c r="H33" s="5"/>
      <c r="I33" s="5"/>
      <c r="J33" s="5"/>
      <c r="K33" s="5"/>
      <c r="L33" s="5"/>
      <c r="M33" s="5"/>
      <c r="N33" s="5"/>
      <c r="O33" s="5"/>
      <c r="P33" s="5"/>
      <c r="Q33" s="5"/>
    </row>
    <row r="34" ht="59.25" customHeight="1">
      <c r="A34" s="193" t="str">
        <f>RubricExaminer2!A40</f>
        <v/>
      </c>
      <c r="B34" s="138"/>
      <c r="C34" s="138"/>
      <c r="D34" s="138"/>
      <c r="E34" s="139"/>
      <c r="F34" s="5"/>
      <c r="G34" s="5"/>
      <c r="H34" s="5"/>
      <c r="I34" s="5"/>
      <c r="J34" s="5"/>
      <c r="K34" s="5"/>
      <c r="L34" s="5"/>
      <c r="M34" s="5"/>
      <c r="N34" s="5"/>
      <c r="O34" s="5"/>
      <c r="P34" s="5"/>
      <c r="Q34" s="5"/>
    </row>
    <row r="35" ht="15.75" customHeight="1">
      <c r="A35" s="192" t="str">
        <f>Language!C70</f>
        <v>Evaluador/a 3. Observaciones y recomendaciones:</v>
      </c>
      <c r="B35" s="33"/>
      <c r="C35" s="33"/>
      <c r="D35" s="33"/>
      <c r="E35" s="34"/>
      <c r="F35" s="5"/>
      <c r="G35" s="5"/>
      <c r="H35" s="5"/>
      <c r="I35" s="5"/>
      <c r="J35" s="5"/>
      <c r="K35" s="5"/>
      <c r="L35" s="5"/>
      <c r="M35" s="5"/>
      <c r="N35" s="5"/>
      <c r="O35" s="5"/>
      <c r="P35" s="5"/>
      <c r="Q35" s="5"/>
    </row>
    <row r="36" ht="59.25" customHeight="1">
      <c r="A36" s="193" t="str">
        <f>RubricExaminer3!A40</f>
        <v/>
      </c>
      <c r="B36" s="138"/>
      <c r="C36" s="138"/>
      <c r="D36" s="138"/>
      <c r="E36" s="139"/>
      <c r="F36" s="5"/>
      <c r="G36" s="5"/>
      <c r="H36" s="5"/>
      <c r="I36" s="5"/>
      <c r="J36" s="5"/>
      <c r="K36" s="5"/>
      <c r="L36" s="5"/>
      <c r="M36" s="5"/>
      <c r="N36" s="5"/>
      <c r="O36" s="5"/>
      <c r="P36" s="5"/>
      <c r="Q36" s="5"/>
    </row>
    <row r="37" ht="15.75" customHeight="1">
      <c r="A37" s="5"/>
      <c r="B37" s="112"/>
      <c r="C37" s="112"/>
      <c r="D37" s="112"/>
      <c r="E37" s="112"/>
      <c r="F37" s="5"/>
      <c r="G37" s="5"/>
      <c r="H37" s="5"/>
      <c r="I37" s="5"/>
      <c r="J37" s="5"/>
      <c r="K37" s="5"/>
      <c r="L37" s="5"/>
      <c r="M37" s="5"/>
      <c r="N37" s="5"/>
      <c r="O37" s="5"/>
      <c r="P37" s="5"/>
      <c r="Q37" s="5"/>
    </row>
    <row r="38" ht="17.25" customHeight="1">
      <c r="A38" s="5"/>
      <c r="B38" s="112"/>
      <c r="C38" s="112"/>
      <c r="D38" s="112"/>
      <c r="E38" s="112"/>
      <c r="F38" s="5"/>
      <c r="G38" s="5"/>
      <c r="H38" s="5"/>
      <c r="I38" s="5"/>
      <c r="J38" s="5"/>
      <c r="K38" s="5"/>
      <c r="L38" s="5"/>
      <c r="M38" s="5"/>
      <c r="N38" s="5"/>
      <c r="O38" s="5"/>
      <c r="P38" s="5"/>
      <c r="Q38" s="5"/>
    </row>
    <row r="39" ht="15.75" customHeight="1">
      <c r="A39" s="5"/>
      <c r="B39" s="112"/>
      <c r="C39" s="112"/>
      <c r="D39" s="112"/>
      <c r="E39" s="112"/>
      <c r="F39" s="5"/>
      <c r="G39" s="5"/>
      <c r="H39" s="5"/>
      <c r="I39" s="5"/>
      <c r="J39" s="5"/>
      <c r="K39" s="5"/>
      <c r="L39" s="5"/>
      <c r="M39" s="5"/>
      <c r="N39" s="5"/>
      <c r="O39" s="5"/>
      <c r="P39" s="5"/>
      <c r="Q39" s="5"/>
    </row>
    <row r="40" ht="15.75" customHeight="1">
      <c r="A40" s="5"/>
      <c r="B40" s="112"/>
      <c r="C40" s="112"/>
      <c r="D40" s="112"/>
      <c r="E40" s="112"/>
      <c r="F40" s="5"/>
      <c r="G40" s="5"/>
      <c r="H40" s="5"/>
      <c r="I40" s="5"/>
      <c r="J40" s="5"/>
      <c r="K40" s="5"/>
      <c r="L40" s="5"/>
      <c r="M40" s="5"/>
      <c r="N40" s="5"/>
      <c r="O40" s="5"/>
      <c r="P40" s="5"/>
      <c r="Q40" s="5"/>
    </row>
    <row r="41" ht="15.75" customHeight="1">
      <c r="A41" s="5"/>
      <c r="B41" s="112"/>
      <c r="C41" s="112"/>
      <c r="D41" s="112"/>
      <c r="E41" s="112"/>
      <c r="F41" s="5"/>
      <c r="G41" s="5"/>
      <c r="H41" s="5"/>
      <c r="I41" s="5"/>
      <c r="J41" s="5"/>
      <c r="K41" s="5"/>
      <c r="L41" s="5"/>
      <c r="M41" s="5"/>
      <c r="N41" s="5"/>
      <c r="O41" s="5"/>
      <c r="P41" s="5"/>
      <c r="Q41" s="5"/>
    </row>
    <row r="42" ht="15.75" customHeight="1">
      <c r="A42" s="5"/>
      <c r="B42" s="112"/>
      <c r="C42" s="112"/>
      <c r="D42" s="112"/>
      <c r="E42" s="112"/>
      <c r="F42" s="5"/>
      <c r="G42" s="5"/>
      <c r="H42" s="5"/>
      <c r="I42" s="5"/>
      <c r="J42" s="5"/>
      <c r="K42" s="5"/>
      <c r="L42" s="5"/>
      <c r="M42" s="5"/>
      <c r="N42" s="5"/>
      <c r="O42" s="5"/>
      <c r="P42" s="5"/>
      <c r="Q42" s="5"/>
    </row>
    <row r="43" ht="15.75" customHeight="1">
      <c r="A43" s="5"/>
      <c r="B43" s="112"/>
      <c r="C43" s="112"/>
      <c r="D43" s="112"/>
      <c r="E43" s="112"/>
      <c r="F43" s="5"/>
      <c r="G43" s="5"/>
      <c r="H43" s="5"/>
      <c r="I43" s="5"/>
      <c r="J43" s="5"/>
      <c r="K43" s="5"/>
      <c r="L43" s="5"/>
      <c r="M43" s="5"/>
      <c r="N43" s="5"/>
      <c r="O43" s="5"/>
      <c r="P43" s="5"/>
      <c r="Q43" s="5"/>
    </row>
    <row r="44" ht="15.75" customHeight="1">
      <c r="A44" s="5"/>
      <c r="B44" s="112"/>
      <c r="C44" s="112"/>
      <c r="D44" s="112"/>
      <c r="E44" s="112"/>
      <c r="F44" s="5"/>
      <c r="G44" s="5"/>
      <c r="H44" s="5"/>
      <c r="I44" s="5"/>
      <c r="J44" s="5"/>
      <c r="K44" s="5"/>
      <c r="L44" s="5"/>
      <c r="M44" s="5"/>
      <c r="N44" s="5"/>
      <c r="O44" s="5"/>
      <c r="P44" s="5"/>
      <c r="Q44" s="5"/>
    </row>
    <row r="45" ht="15.75" customHeight="1">
      <c r="A45" s="5"/>
      <c r="B45" s="112"/>
      <c r="C45" s="112"/>
      <c r="D45" s="112"/>
      <c r="E45" s="112"/>
      <c r="F45" s="5"/>
      <c r="G45" s="5"/>
      <c r="H45" s="5"/>
      <c r="I45" s="5"/>
      <c r="J45" s="5"/>
      <c r="K45" s="5"/>
      <c r="L45" s="5"/>
      <c r="M45" s="5"/>
      <c r="N45" s="5"/>
      <c r="O45" s="5"/>
      <c r="P45" s="5"/>
      <c r="Q45" s="5"/>
    </row>
    <row r="46" ht="15.75" customHeight="1">
      <c r="A46" s="5"/>
      <c r="B46" s="112"/>
      <c r="C46" s="112"/>
      <c r="D46" s="112"/>
      <c r="E46" s="112"/>
      <c r="F46" s="5"/>
      <c r="G46" s="5"/>
      <c r="H46" s="5"/>
      <c r="I46" s="5"/>
      <c r="J46" s="5"/>
      <c r="K46" s="5"/>
      <c r="L46" s="5"/>
      <c r="M46" s="5"/>
      <c r="N46" s="5"/>
      <c r="O46" s="5"/>
      <c r="P46" s="5"/>
      <c r="Q46" s="5"/>
    </row>
    <row r="47" ht="15.75" customHeight="1">
      <c r="A47" s="5"/>
      <c r="B47" s="112"/>
      <c r="C47" s="112"/>
      <c r="D47" s="112"/>
      <c r="E47" s="112"/>
      <c r="F47" s="5"/>
      <c r="G47" s="5"/>
      <c r="H47" s="5"/>
      <c r="I47" s="5"/>
      <c r="J47" s="5"/>
      <c r="K47" s="5"/>
      <c r="L47" s="5"/>
      <c r="M47" s="5"/>
      <c r="N47" s="5"/>
      <c r="O47" s="5"/>
      <c r="P47" s="5"/>
      <c r="Q47" s="5"/>
    </row>
    <row r="48" ht="15.75" customHeight="1">
      <c r="A48" s="5"/>
      <c r="B48" s="112"/>
      <c r="C48" s="112"/>
      <c r="D48" s="112"/>
      <c r="E48" s="112"/>
      <c r="F48" s="5"/>
      <c r="G48" s="5"/>
      <c r="H48" s="5"/>
      <c r="I48" s="5"/>
      <c r="J48" s="5"/>
      <c r="K48" s="5"/>
      <c r="L48" s="5"/>
      <c r="M48" s="5"/>
      <c r="N48" s="5"/>
      <c r="O48" s="5"/>
      <c r="P48" s="5"/>
      <c r="Q48" s="5"/>
    </row>
    <row r="49" ht="15.75" customHeight="1">
      <c r="A49" s="5"/>
      <c r="B49" s="112"/>
      <c r="C49" s="112"/>
      <c r="D49" s="112"/>
      <c r="E49" s="112"/>
      <c r="F49" s="5"/>
      <c r="G49" s="5"/>
      <c r="H49" s="5"/>
      <c r="I49" s="5"/>
      <c r="J49" s="5"/>
      <c r="K49" s="5"/>
      <c r="L49" s="5"/>
      <c r="M49" s="5"/>
      <c r="N49" s="5"/>
      <c r="O49" s="5"/>
      <c r="P49" s="5"/>
      <c r="Q49" s="5"/>
    </row>
    <row r="50" ht="15.75" customHeight="1">
      <c r="A50" s="5"/>
      <c r="B50" s="112"/>
      <c r="C50" s="112"/>
      <c r="D50" s="112"/>
      <c r="E50" s="112"/>
      <c r="F50" s="5"/>
      <c r="G50" s="5"/>
      <c r="H50" s="5"/>
      <c r="I50" s="5"/>
      <c r="J50" s="5"/>
      <c r="K50" s="5"/>
      <c r="L50" s="5"/>
      <c r="M50" s="5"/>
      <c r="N50" s="5"/>
      <c r="O50" s="5"/>
      <c r="P50" s="5"/>
      <c r="Q50" s="5"/>
    </row>
    <row r="51" ht="15.75" customHeight="1">
      <c r="A51" s="5"/>
      <c r="B51" s="112"/>
      <c r="C51" s="112"/>
      <c r="D51" s="112"/>
      <c r="E51" s="112"/>
      <c r="F51" s="5"/>
      <c r="G51" s="5"/>
      <c r="H51" s="5"/>
      <c r="I51" s="5"/>
      <c r="J51" s="5"/>
      <c r="K51" s="5"/>
      <c r="L51" s="5"/>
      <c r="M51" s="5"/>
      <c r="N51" s="5"/>
      <c r="O51" s="5"/>
      <c r="P51" s="5"/>
      <c r="Q51" s="5"/>
    </row>
    <row r="52" ht="15.75" customHeight="1">
      <c r="A52" s="5"/>
      <c r="B52" s="112"/>
      <c r="C52" s="112"/>
      <c r="D52" s="112"/>
      <c r="E52" s="112"/>
      <c r="F52" s="5"/>
      <c r="G52" s="5"/>
      <c r="H52" s="5"/>
      <c r="I52" s="5"/>
      <c r="J52" s="5"/>
      <c r="K52" s="5"/>
      <c r="L52" s="5"/>
      <c r="M52" s="5"/>
      <c r="N52" s="5"/>
      <c r="O52" s="5"/>
      <c r="P52" s="5"/>
      <c r="Q52" s="5"/>
    </row>
    <row r="53" ht="15.75" customHeight="1">
      <c r="A53" s="5"/>
      <c r="B53" s="112"/>
      <c r="C53" s="112"/>
      <c r="D53" s="112"/>
      <c r="E53" s="112"/>
      <c r="F53" s="5"/>
      <c r="G53" s="5"/>
      <c r="H53" s="5"/>
      <c r="I53" s="5"/>
      <c r="J53" s="5"/>
      <c r="K53" s="5"/>
      <c r="L53" s="5"/>
      <c r="M53" s="5"/>
      <c r="N53" s="5"/>
      <c r="O53" s="5"/>
      <c r="P53" s="5"/>
      <c r="Q53" s="5"/>
    </row>
    <row r="54" ht="15.75" customHeight="1">
      <c r="A54" s="5"/>
      <c r="B54" s="112"/>
      <c r="C54" s="112"/>
      <c r="D54" s="112"/>
      <c r="E54" s="112"/>
      <c r="F54" s="5"/>
      <c r="G54" s="5"/>
      <c r="H54" s="5"/>
      <c r="I54" s="5"/>
      <c r="J54" s="5"/>
      <c r="K54" s="5"/>
      <c r="L54" s="5"/>
      <c r="M54" s="5"/>
      <c r="N54" s="5"/>
      <c r="O54" s="5"/>
      <c r="P54" s="5"/>
      <c r="Q54" s="5"/>
    </row>
    <row r="55" ht="15.75" customHeight="1">
      <c r="A55" s="5"/>
      <c r="B55" s="112"/>
      <c r="C55" s="112"/>
      <c r="D55" s="112"/>
      <c r="E55" s="112"/>
      <c r="F55" s="5"/>
      <c r="G55" s="5"/>
      <c r="H55" s="5"/>
      <c r="I55" s="5"/>
      <c r="J55" s="5"/>
      <c r="K55" s="5"/>
      <c r="L55" s="5"/>
      <c r="M55" s="5"/>
      <c r="N55" s="5"/>
      <c r="O55" s="5"/>
      <c r="P55" s="5"/>
      <c r="Q55" s="5"/>
    </row>
    <row r="56" ht="15.75" customHeight="1">
      <c r="A56" s="5"/>
      <c r="B56" s="112"/>
      <c r="C56" s="112"/>
      <c r="D56" s="112"/>
      <c r="E56" s="112"/>
      <c r="F56" s="5"/>
      <c r="G56" s="5"/>
      <c r="H56" s="5"/>
      <c r="I56" s="5"/>
      <c r="J56" s="5"/>
      <c r="K56" s="5"/>
      <c r="L56" s="5"/>
      <c r="M56" s="5"/>
      <c r="N56" s="5"/>
      <c r="O56" s="5"/>
      <c r="P56" s="5"/>
      <c r="Q56" s="5"/>
    </row>
    <row r="57" ht="15.75" customHeight="1">
      <c r="A57" s="5"/>
      <c r="B57" s="112"/>
      <c r="C57" s="112"/>
      <c r="D57" s="112"/>
      <c r="E57" s="112"/>
      <c r="F57" s="5"/>
      <c r="G57" s="5"/>
      <c r="H57" s="5"/>
      <c r="I57" s="5"/>
      <c r="J57" s="5"/>
      <c r="K57" s="5"/>
      <c r="L57" s="5"/>
      <c r="M57" s="5"/>
      <c r="N57" s="5"/>
      <c r="O57" s="5"/>
      <c r="P57" s="5"/>
      <c r="Q57" s="5"/>
    </row>
    <row r="58" ht="15.75" customHeight="1">
      <c r="A58" s="5"/>
      <c r="B58" s="112"/>
      <c r="C58" s="112"/>
      <c r="D58" s="112"/>
      <c r="E58" s="112"/>
      <c r="F58" s="5"/>
      <c r="G58" s="5"/>
      <c r="H58" s="5"/>
      <c r="I58" s="5"/>
      <c r="J58" s="5"/>
      <c r="K58" s="5"/>
      <c r="L58" s="5"/>
      <c r="M58" s="5"/>
      <c r="N58" s="5"/>
      <c r="O58" s="5"/>
      <c r="P58" s="5"/>
      <c r="Q58" s="5"/>
    </row>
    <row r="59" ht="15.75" customHeight="1">
      <c r="A59" s="5"/>
      <c r="B59" s="112"/>
      <c r="C59" s="112"/>
      <c r="D59" s="112"/>
      <c r="E59" s="112"/>
      <c r="F59" s="5"/>
      <c r="G59" s="5"/>
      <c r="H59" s="5"/>
      <c r="I59" s="5"/>
      <c r="J59" s="5"/>
      <c r="K59" s="5"/>
      <c r="L59" s="5"/>
      <c r="M59" s="5"/>
      <c r="N59" s="5"/>
      <c r="O59" s="5"/>
      <c r="P59" s="5"/>
      <c r="Q59" s="5"/>
    </row>
    <row r="60" ht="15.75" customHeight="1">
      <c r="A60" s="5"/>
      <c r="B60" s="112"/>
      <c r="C60" s="112"/>
      <c r="D60" s="112"/>
      <c r="E60" s="112"/>
      <c r="F60" s="5"/>
      <c r="G60" s="5"/>
      <c r="H60" s="5"/>
      <c r="I60" s="5"/>
      <c r="J60" s="5"/>
      <c r="K60" s="5"/>
      <c r="L60" s="5"/>
      <c r="M60" s="5"/>
      <c r="N60" s="5"/>
      <c r="O60" s="5"/>
      <c r="P60" s="5"/>
      <c r="Q60" s="5"/>
    </row>
    <row r="61" ht="15.75" customHeight="1">
      <c r="A61" s="5"/>
      <c r="B61" s="112"/>
      <c r="C61" s="112"/>
      <c r="D61" s="112"/>
      <c r="E61" s="112"/>
      <c r="F61" s="5"/>
      <c r="G61" s="5"/>
      <c r="H61" s="5"/>
      <c r="I61" s="5"/>
      <c r="J61" s="5"/>
      <c r="K61" s="5"/>
      <c r="L61" s="5"/>
      <c r="M61" s="5"/>
      <c r="N61" s="5"/>
      <c r="O61" s="5"/>
      <c r="P61" s="5"/>
      <c r="Q61" s="5"/>
    </row>
    <row r="62" ht="15.75" customHeight="1">
      <c r="A62" s="5"/>
      <c r="B62" s="112"/>
      <c r="C62" s="112"/>
      <c r="D62" s="112"/>
      <c r="E62" s="112"/>
      <c r="F62" s="5"/>
      <c r="G62" s="5"/>
      <c r="H62" s="5"/>
      <c r="I62" s="5"/>
      <c r="J62" s="5"/>
      <c r="K62" s="5"/>
      <c r="L62" s="5"/>
      <c r="M62" s="5"/>
      <c r="N62" s="5"/>
      <c r="O62" s="5"/>
      <c r="P62" s="5"/>
      <c r="Q62" s="5"/>
    </row>
    <row r="63" ht="15.75" customHeight="1">
      <c r="A63" s="5"/>
      <c r="B63" s="112"/>
      <c r="C63" s="112"/>
      <c r="D63" s="112"/>
      <c r="E63" s="112"/>
      <c r="F63" s="5"/>
      <c r="G63" s="5"/>
      <c r="H63" s="5"/>
      <c r="I63" s="5"/>
      <c r="J63" s="5"/>
      <c r="K63" s="5"/>
      <c r="L63" s="5"/>
      <c r="M63" s="5"/>
      <c r="N63" s="5"/>
      <c r="O63" s="5"/>
      <c r="P63" s="5"/>
      <c r="Q63" s="5"/>
    </row>
    <row r="64" ht="15.75" customHeight="1">
      <c r="A64" s="5"/>
      <c r="B64" s="112"/>
      <c r="C64" s="112"/>
      <c r="D64" s="112"/>
      <c r="E64" s="112"/>
      <c r="F64" s="5"/>
      <c r="G64" s="5"/>
      <c r="H64" s="5"/>
      <c r="I64" s="5"/>
      <c r="J64" s="5"/>
      <c r="K64" s="5"/>
      <c r="L64" s="5"/>
      <c r="M64" s="5"/>
      <c r="N64" s="5"/>
      <c r="O64" s="5"/>
      <c r="P64" s="5"/>
      <c r="Q64" s="5"/>
    </row>
    <row r="65" ht="15.75" customHeight="1">
      <c r="A65" s="5"/>
      <c r="B65" s="112"/>
      <c r="C65" s="112"/>
      <c r="D65" s="112"/>
      <c r="E65" s="112"/>
      <c r="F65" s="5"/>
      <c r="G65" s="5"/>
      <c r="H65" s="5"/>
      <c r="I65" s="5"/>
      <c r="J65" s="5"/>
      <c r="K65" s="5"/>
      <c r="L65" s="5"/>
      <c r="M65" s="5"/>
      <c r="N65" s="5"/>
      <c r="O65" s="5"/>
      <c r="P65" s="5"/>
      <c r="Q65" s="5"/>
    </row>
    <row r="66" ht="15.75" customHeight="1">
      <c r="A66" s="5"/>
      <c r="B66" s="112"/>
      <c r="C66" s="112"/>
      <c r="D66" s="112"/>
      <c r="E66" s="112"/>
      <c r="F66" s="5"/>
      <c r="G66" s="5"/>
      <c r="H66" s="5"/>
      <c r="I66" s="5"/>
      <c r="J66" s="5"/>
      <c r="K66" s="5"/>
      <c r="L66" s="5"/>
      <c r="M66" s="5"/>
      <c r="N66" s="5"/>
      <c r="O66" s="5"/>
      <c r="P66" s="5"/>
      <c r="Q66" s="5"/>
    </row>
    <row r="67" ht="15.75" customHeight="1">
      <c r="A67" s="5"/>
      <c r="B67" s="112"/>
      <c r="C67" s="112"/>
      <c r="D67" s="112"/>
      <c r="E67" s="112"/>
      <c r="F67" s="5"/>
      <c r="G67" s="5"/>
      <c r="H67" s="5"/>
      <c r="I67" s="5"/>
      <c r="J67" s="5"/>
      <c r="K67" s="5"/>
      <c r="L67" s="5"/>
      <c r="M67" s="5"/>
      <c r="N67" s="5"/>
      <c r="O67" s="5"/>
      <c r="P67" s="5"/>
      <c r="Q67" s="5"/>
    </row>
    <row r="68" ht="15.75" customHeight="1">
      <c r="A68" s="5"/>
      <c r="B68" s="112"/>
      <c r="C68" s="112"/>
      <c r="D68" s="112"/>
      <c r="E68" s="112"/>
      <c r="F68" s="5"/>
      <c r="G68" s="5"/>
      <c r="H68" s="5"/>
      <c r="I68" s="5"/>
      <c r="J68" s="5"/>
      <c r="K68" s="5"/>
      <c r="L68" s="5"/>
      <c r="M68" s="5"/>
      <c r="N68" s="5"/>
      <c r="O68" s="5"/>
      <c r="P68" s="5"/>
      <c r="Q68" s="5"/>
    </row>
    <row r="69" ht="15.75" customHeight="1">
      <c r="A69" s="5"/>
      <c r="B69" s="112"/>
      <c r="C69" s="112"/>
      <c r="D69" s="112"/>
      <c r="E69" s="112"/>
      <c r="F69" s="5"/>
      <c r="G69" s="5"/>
      <c r="H69" s="5"/>
      <c r="I69" s="5"/>
      <c r="J69" s="5"/>
      <c r="K69" s="5"/>
      <c r="L69" s="5"/>
      <c r="M69" s="5"/>
      <c r="N69" s="5"/>
      <c r="O69" s="5"/>
      <c r="P69" s="5"/>
      <c r="Q69" s="5"/>
    </row>
    <row r="70" ht="15.75" customHeight="1">
      <c r="A70" s="5"/>
      <c r="B70" s="112"/>
      <c r="C70" s="112"/>
      <c r="D70" s="112"/>
      <c r="E70" s="112"/>
      <c r="F70" s="5"/>
      <c r="G70" s="5"/>
      <c r="H70" s="5"/>
      <c r="I70" s="5"/>
      <c r="J70" s="5"/>
      <c r="K70" s="5"/>
      <c r="L70" s="5"/>
      <c r="M70" s="5"/>
      <c r="N70" s="5"/>
      <c r="O70" s="5"/>
      <c r="P70" s="5"/>
      <c r="Q70" s="5"/>
    </row>
    <row r="71" ht="15.75" customHeight="1">
      <c r="A71" s="5"/>
      <c r="B71" s="112"/>
      <c r="C71" s="112"/>
      <c r="D71" s="112"/>
      <c r="E71" s="112"/>
      <c r="F71" s="5"/>
      <c r="G71" s="5"/>
      <c r="H71" s="5"/>
      <c r="I71" s="5"/>
      <c r="J71" s="5"/>
      <c r="K71" s="5"/>
      <c r="L71" s="5"/>
      <c r="M71" s="5"/>
      <c r="N71" s="5"/>
      <c r="O71" s="5"/>
      <c r="P71" s="5"/>
      <c r="Q71" s="5"/>
    </row>
    <row r="72" ht="15.75" customHeight="1">
      <c r="A72" s="5"/>
      <c r="B72" s="112"/>
      <c r="C72" s="112"/>
      <c r="D72" s="112"/>
      <c r="E72" s="112"/>
      <c r="F72" s="5"/>
      <c r="G72" s="5"/>
      <c r="H72" s="5"/>
      <c r="I72" s="5"/>
      <c r="J72" s="5"/>
      <c r="K72" s="5"/>
      <c r="L72" s="5"/>
      <c r="M72" s="5"/>
      <c r="N72" s="5"/>
      <c r="O72" s="5"/>
      <c r="P72" s="5"/>
      <c r="Q72" s="5"/>
    </row>
    <row r="73" ht="15.75" customHeight="1">
      <c r="A73" s="5"/>
      <c r="B73" s="112"/>
      <c r="C73" s="112"/>
      <c r="D73" s="112"/>
      <c r="E73" s="112"/>
      <c r="F73" s="5"/>
      <c r="G73" s="5"/>
      <c r="H73" s="5"/>
      <c r="I73" s="5"/>
      <c r="J73" s="5"/>
      <c r="K73" s="5"/>
      <c r="L73" s="5"/>
      <c r="M73" s="5"/>
      <c r="N73" s="5"/>
      <c r="O73" s="5"/>
      <c r="P73" s="5"/>
      <c r="Q73" s="5"/>
    </row>
    <row r="74" ht="15.75" customHeight="1">
      <c r="A74" s="5"/>
      <c r="B74" s="112"/>
      <c r="C74" s="112"/>
      <c r="D74" s="112"/>
      <c r="E74" s="112"/>
      <c r="F74" s="5"/>
      <c r="G74" s="5"/>
      <c r="H74" s="5"/>
      <c r="I74" s="5"/>
      <c r="J74" s="5"/>
      <c r="K74" s="5"/>
      <c r="L74" s="5"/>
      <c r="M74" s="5"/>
      <c r="N74" s="5"/>
      <c r="O74" s="5"/>
      <c r="P74" s="5"/>
      <c r="Q74" s="5"/>
    </row>
    <row r="75" ht="15.75" customHeight="1">
      <c r="A75" s="5"/>
      <c r="B75" s="112"/>
      <c r="C75" s="112"/>
      <c r="D75" s="112"/>
      <c r="E75" s="112"/>
      <c r="F75" s="5"/>
      <c r="G75" s="5"/>
      <c r="H75" s="5"/>
      <c r="I75" s="5"/>
      <c r="J75" s="5"/>
      <c r="K75" s="5"/>
      <c r="L75" s="5"/>
      <c r="M75" s="5"/>
      <c r="N75" s="5"/>
      <c r="O75" s="5"/>
      <c r="P75" s="5"/>
      <c r="Q75" s="5"/>
    </row>
    <row r="76" ht="15.75" customHeight="1">
      <c r="A76" s="5"/>
      <c r="B76" s="112"/>
      <c r="C76" s="112"/>
      <c r="D76" s="112"/>
      <c r="E76" s="112"/>
      <c r="F76" s="5"/>
      <c r="G76" s="5"/>
      <c r="H76" s="5"/>
      <c r="I76" s="5"/>
      <c r="J76" s="5"/>
      <c r="K76" s="5"/>
      <c r="L76" s="5"/>
      <c r="M76" s="5"/>
      <c r="N76" s="5"/>
      <c r="O76" s="5"/>
      <c r="P76" s="5"/>
      <c r="Q76" s="5"/>
    </row>
    <row r="77" ht="15.75" customHeight="1">
      <c r="A77" s="5"/>
      <c r="B77" s="112"/>
      <c r="C77" s="112"/>
      <c r="D77" s="112"/>
      <c r="E77" s="112"/>
      <c r="F77" s="5"/>
      <c r="G77" s="5"/>
      <c r="H77" s="5"/>
      <c r="I77" s="5"/>
      <c r="J77" s="5"/>
      <c r="K77" s="5"/>
      <c r="L77" s="5"/>
      <c r="M77" s="5"/>
      <c r="N77" s="5"/>
      <c r="O77" s="5"/>
      <c r="P77" s="5"/>
      <c r="Q77" s="5"/>
    </row>
    <row r="78" ht="15.75" customHeight="1">
      <c r="A78" s="5"/>
      <c r="B78" s="112"/>
      <c r="C78" s="112"/>
      <c r="D78" s="112"/>
      <c r="E78" s="112"/>
      <c r="F78" s="5"/>
      <c r="G78" s="5"/>
      <c r="H78" s="5"/>
      <c r="I78" s="5"/>
      <c r="J78" s="5"/>
      <c r="K78" s="5"/>
      <c r="L78" s="5"/>
      <c r="M78" s="5"/>
      <c r="N78" s="5"/>
      <c r="O78" s="5"/>
      <c r="P78" s="5"/>
      <c r="Q78" s="5"/>
    </row>
    <row r="79" ht="15.75" customHeight="1">
      <c r="A79" s="5"/>
      <c r="B79" s="112"/>
      <c r="C79" s="112"/>
      <c r="D79" s="112"/>
      <c r="E79" s="112"/>
      <c r="F79" s="5"/>
      <c r="G79" s="5"/>
      <c r="H79" s="5"/>
      <c r="I79" s="5"/>
      <c r="J79" s="5"/>
      <c r="K79" s="5"/>
      <c r="L79" s="5"/>
      <c r="M79" s="5"/>
      <c r="N79" s="5"/>
      <c r="O79" s="5"/>
      <c r="P79" s="5"/>
      <c r="Q79" s="5"/>
    </row>
    <row r="80" ht="15.75" customHeight="1">
      <c r="A80" s="5"/>
      <c r="B80" s="112"/>
      <c r="C80" s="112"/>
      <c r="D80" s="112"/>
      <c r="E80" s="112"/>
      <c r="F80" s="5"/>
      <c r="G80" s="5"/>
      <c r="H80" s="5"/>
      <c r="I80" s="5"/>
      <c r="J80" s="5"/>
      <c r="K80" s="5"/>
      <c r="L80" s="5"/>
      <c r="M80" s="5"/>
      <c r="N80" s="5"/>
      <c r="O80" s="5"/>
      <c r="P80" s="5"/>
      <c r="Q80" s="5"/>
    </row>
    <row r="81" ht="15.75" customHeight="1">
      <c r="A81" s="5"/>
      <c r="B81" s="112"/>
      <c r="C81" s="112"/>
      <c r="D81" s="112"/>
      <c r="E81" s="112"/>
      <c r="F81" s="5"/>
      <c r="G81" s="5"/>
      <c r="H81" s="5"/>
      <c r="I81" s="5"/>
      <c r="J81" s="5"/>
      <c r="K81" s="5"/>
      <c r="L81" s="5"/>
      <c r="M81" s="5"/>
      <c r="N81" s="5"/>
      <c r="O81" s="5"/>
      <c r="P81" s="5"/>
      <c r="Q81" s="5"/>
    </row>
    <row r="82" ht="15.75" customHeight="1">
      <c r="A82" s="5"/>
      <c r="B82" s="112"/>
      <c r="C82" s="112"/>
      <c r="D82" s="112"/>
      <c r="E82" s="112"/>
      <c r="F82" s="5"/>
      <c r="G82" s="5"/>
      <c r="H82" s="5"/>
      <c r="I82" s="5"/>
      <c r="J82" s="5"/>
      <c r="K82" s="5"/>
      <c r="L82" s="5"/>
      <c r="M82" s="5"/>
      <c r="N82" s="5"/>
      <c r="O82" s="5"/>
      <c r="P82" s="5"/>
      <c r="Q82" s="5"/>
    </row>
    <row r="83" ht="15.75" customHeight="1">
      <c r="A83" s="5"/>
      <c r="B83" s="112"/>
      <c r="C83" s="112"/>
      <c r="D83" s="112"/>
      <c r="E83" s="112"/>
      <c r="F83" s="5"/>
      <c r="G83" s="5"/>
      <c r="H83" s="5"/>
      <c r="I83" s="5"/>
      <c r="J83" s="5"/>
      <c r="K83" s="5"/>
      <c r="L83" s="5"/>
      <c r="M83" s="5"/>
      <c r="N83" s="5"/>
      <c r="O83" s="5"/>
      <c r="P83" s="5"/>
      <c r="Q83" s="5"/>
    </row>
    <row r="84" ht="15.75" customHeight="1">
      <c r="A84" s="5"/>
      <c r="B84" s="112"/>
      <c r="C84" s="112"/>
      <c r="D84" s="112"/>
      <c r="E84" s="112"/>
      <c r="F84" s="5"/>
      <c r="G84" s="5"/>
      <c r="H84" s="5"/>
      <c r="I84" s="5"/>
      <c r="J84" s="5"/>
      <c r="K84" s="5"/>
      <c r="L84" s="5"/>
      <c r="M84" s="5"/>
      <c r="N84" s="5"/>
      <c r="O84" s="5"/>
      <c r="P84" s="5"/>
      <c r="Q84" s="5"/>
    </row>
    <row r="85" ht="15.75" customHeight="1">
      <c r="A85" s="5"/>
      <c r="B85" s="112"/>
      <c r="C85" s="112"/>
      <c r="D85" s="112"/>
      <c r="E85" s="112"/>
      <c r="F85" s="5"/>
      <c r="G85" s="5"/>
      <c r="H85" s="5"/>
      <c r="I85" s="5"/>
      <c r="J85" s="5"/>
      <c r="K85" s="5"/>
      <c r="L85" s="5"/>
      <c r="M85" s="5"/>
      <c r="N85" s="5"/>
      <c r="O85" s="5"/>
      <c r="P85" s="5"/>
      <c r="Q85" s="5"/>
    </row>
    <row r="86" ht="15.75" customHeight="1">
      <c r="A86" s="5"/>
      <c r="B86" s="112"/>
      <c r="C86" s="112"/>
      <c r="D86" s="112"/>
      <c r="E86" s="112"/>
      <c r="F86" s="5"/>
      <c r="G86" s="5"/>
      <c r="H86" s="5"/>
      <c r="I86" s="5"/>
      <c r="J86" s="5"/>
      <c r="K86" s="5"/>
      <c r="L86" s="5"/>
      <c r="M86" s="5"/>
      <c r="N86" s="5"/>
      <c r="O86" s="5"/>
      <c r="P86" s="5"/>
      <c r="Q86" s="5"/>
    </row>
    <row r="87" ht="15.75" customHeight="1">
      <c r="A87" s="5"/>
      <c r="B87" s="112"/>
      <c r="C87" s="112"/>
      <c r="D87" s="112"/>
      <c r="E87" s="112"/>
      <c r="F87" s="5"/>
      <c r="G87" s="5"/>
      <c r="H87" s="5"/>
      <c r="I87" s="5"/>
      <c r="J87" s="5"/>
      <c r="K87" s="5"/>
      <c r="L87" s="5"/>
      <c r="M87" s="5"/>
      <c r="N87" s="5"/>
      <c r="O87" s="5"/>
      <c r="P87" s="5"/>
      <c r="Q87" s="5"/>
    </row>
    <row r="88" ht="15.75" customHeight="1">
      <c r="A88" s="5"/>
      <c r="B88" s="112"/>
      <c r="C88" s="112"/>
      <c r="D88" s="112"/>
      <c r="E88" s="112"/>
      <c r="F88" s="5"/>
      <c r="G88" s="5"/>
      <c r="H88" s="5"/>
      <c r="I88" s="5"/>
      <c r="J88" s="5"/>
      <c r="K88" s="5"/>
      <c r="L88" s="5"/>
      <c r="M88" s="5"/>
      <c r="N88" s="5"/>
      <c r="O88" s="5"/>
      <c r="P88" s="5"/>
      <c r="Q88" s="5"/>
    </row>
    <row r="89" ht="15.75" customHeight="1">
      <c r="A89" s="5"/>
      <c r="B89" s="112"/>
      <c r="C89" s="112"/>
      <c r="D89" s="112"/>
      <c r="E89" s="112"/>
      <c r="F89" s="5"/>
      <c r="G89" s="5"/>
      <c r="H89" s="5"/>
      <c r="I89" s="5"/>
      <c r="J89" s="5"/>
      <c r="K89" s="5"/>
      <c r="L89" s="5"/>
      <c r="M89" s="5"/>
      <c r="N89" s="5"/>
      <c r="O89" s="5"/>
      <c r="P89" s="5"/>
      <c r="Q89" s="5"/>
    </row>
    <row r="90" ht="15.75" customHeight="1">
      <c r="A90" s="5"/>
      <c r="B90" s="112"/>
      <c r="C90" s="112"/>
      <c r="D90" s="112"/>
      <c r="E90" s="112"/>
      <c r="F90" s="5"/>
      <c r="G90" s="5"/>
      <c r="H90" s="5"/>
      <c r="I90" s="5"/>
      <c r="J90" s="5"/>
      <c r="K90" s="5"/>
      <c r="L90" s="5"/>
      <c r="M90" s="5"/>
      <c r="N90" s="5"/>
      <c r="O90" s="5"/>
      <c r="P90" s="5"/>
      <c r="Q90" s="5"/>
    </row>
    <row r="91" ht="15.75" customHeight="1">
      <c r="A91" s="5"/>
      <c r="B91" s="112"/>
      <c r="C91" s="112"/>
      <c r="D91" s="112"/>
      <c r="E91" s="112"/>
      <c r="F91" s="5"/>
      <c r="G91" s="5"/>
      <c r="H91" s="5"/>
      <c r="I91" s="5"/>
      <c r="J91" s="5"/>
      <c r="K91" s="5"/>
      <c r="L91" s="5"/>
      <c r="M91" s="5"/>
      <c r="N91" s="5"/>
      <c r="O91" s="5"/>
      <c r="P91" s="5"/>
      <c r="Q91" s="5"/>
    </row>
    <row r="92" ht="15.75" customHeight="1">
      <c r="A92" s="5"/>
      <c r="B92" s="112"/>
      <c r="C92" s="112"/>
      <c r="D92" s="112"/>
      <c r="E92" s="112"/>
      <c r="F92" s="5"/>
      <c r="G92" s="5"/>
      <c r="H92" s="5"/>
      <c r="I92" s="5"/>
      <c r="J92" s="5"/>
      <c r="K92" s="5"/>
      <c r="L92" s="5"/>
      <c r="M92" s="5"/>
      <c r="N92" s="5"/>
      <c r="O92" s="5"/>
      <c r="P92" s="5"/>
      <c r="Q92" s="5"/>
    </row>
    <row r="93" ht="15.75" customHeight="1">
      <c r="A93" s="5"/>
      <c r="B93" s="112"/>
      <c r="C93" s="112"/>
      <c r="D93" s="112"/>
      <c r="E93" s="112"/>
      <c r="F93" s="5"/>
      <c r="G93" s="5"/>
      <c r="H93" s="5"/>
      <c r="I93" s="5"/>
      <c r="J93" s="5"/>
      <c r="K93" s="5"/>
      <c r="L93" s="5"/>
      <c r="M93" s="5"/>
      <c r="N93" s="5"/>
      <c r="O93" s="5"/>
      <c r="P93" s="5"/>
      <c r="Q93" s="5"/>
    </row>
    <row r="94" ht="15.75" customHeight="1">
      <c r="A94" s="5"/>
      <c r="B94" s="112"/>
      <c r="C94" s="112"/>
      <c r="D94" s="112"/>
      <c r="E94" s="112"/>
      <c r="F94" s="5"/>
      <c r="G94" s="5"/>
      <c r="H94" s="5"/>
      <c r="I94" s="5"/>
      <c r="J94" s="5"/>
      <c r="K94" s="5"/>
      <c r="L94" s="5"/>
      <c r="M94" s="5"/>
      <c r="N94" s="5"/>
      <c r="O94" s="5"/>
      <c r="P94" s="5"/>
      <c r="Q94" s="5"/>
    </row>
    <row r="95" ht="15.75" customHeight="1">
      <c r="A95" s="5"/>
      <c r="B95" s="112"/>
      <c r="C95" s="112"/>
      <c r="D95" s="112"/>
      <c r="E95" s="112"/>
      <c r="F95" s="5"/>
      <c r="G95" s="5"/>
      <c r="H95" s="5"/>
      <c r="I95" s="5"/>
      <c r="J95" s="5"/>
      <c r="K95" s="5"/>
      <c r="L95" s="5"/>
      <c r="M95" s="5"/>
      <c r="N95" s="5"/>
      <c r="O95" s="5"/>
      <c r="P95" s="5"/>
      <c r="Q95" s="5"/>
    </row>
    <row r="96" ht="15.75" customHeight="1">
      <c r="A96" s="5"/>
      <c r="B96" s="112"/>
      <c r="C96" s="112"/>
      <c r="D96" s="112"/>
      <c r="E96" s="112"/>
      <c r="F96" s="5"/>
      <c r="G96" s="5"/>
      <c r="H96" s="5"/>
      <c r="I96" s="5"/>
      <c r="J96" s="5"/>
      <c r="K96" s="5"/>
      <c r="L96" s="5"/>
      <c r="M96" s="5"/>
      <c r="N96" s="5"/>
      <c r="O96" s="5"/>
      <c r="P96" s="5"/>
      <c r="Q96" s="5"/>
    </row>
    <row r="97" ht="15.75" customHeight="1">
      <c r="A97" s="5"/>
      <c r="B97" s="112"/>
      <c r="C97" s="112"/>
      <c r="D97" s="112"/>
      <c r="E97" s="112"/>
      <c r="F97" s="5"/>
      <c r="G97" s="5"/>
      <c r="H97" s="5"/>
      <c r="I97" s="5"/>
      <c r="J97" s="5"/>
      <c r="K97" s="5"/>
      <c r="L97" s="5"/>
      <c r="M97" s="5"/>
      <c r="N97" s="5"/>
      <c r="O97" s="5"/>
      <c r="P97" s="5"/>
      <c r="Q97" s="5"/>
    </row>
    <row r="98" ht="15.75" customHeight="1">
      <c r="A98" s="5"/>
      <c r="B98" s="112"/>
      <c r="C98" s="112"/>
      <c r="D98" s="112"/>
      <c r="E98" s="112"/>
      <c r="F98" s="5"/>
      <c r="G98" s="5"/>
      <c r="H98" s="5"/>
      <c r="I98" s="5"/>
      <c r="J98" s="5"/>
      <c r="K98" s="5"/>
      <c r="L98" s="5"/>
      <c r="M98" s="5"/>
      <c r="N98" s="5"/>
      <c r="O98" s="5"/>
      <c r="P98" s="5"/>
      <c r="Q98" s="5"/>
    </row>
    <row r="99" ht="15.75" customHeight="1">
      <c r="A99" s="5"/>
      <c r="B99" s="112"/>
      <c r="C99" s="112"/>
      <c r="D99" s="112"/>
      <c r="E99" s="112"/>
      <c r="F99" s="5"/>
      <c r="G99" s="5"/>
      <c r="H99" s="5"/>
      <c r="I99" s="5"/>
      <c r="J99" s="5"/>
      <c r="K99" s="5"/>
      <c r="L99" s="5"/>
      <c r="M99" s="5"/>
      <c r="N99" s="5"/>
      <c r="O99" s="5"/>
      <c r="P99" s="5"/>
      <c r="Q99" s="5"/>
    </row>
    <row r="100" ht="15.75" customHeight="1">
      <c r="A100" s="5"/>
      <c r="B100" s="112"/>
      <c r="C100" s="112"/>
      <c r="D100" s="112"/>
      <c r="E100" s="112"/>
      <c r="F100" s="5"/>
      <c r="G100" s="5"/>
      <c r="H100" s="5"/>
      <c r="I100" s="5"/>
      <c r="J100" s="5"/>
      <c r="K100" s="5"/>
      <c r="L100" s="5"/>
      <c r="M100" s="5"/>
      <c r="N100" s="5"/>
      <c r="O100" s="5"/>
      <c r="P100" s="5"/>
      <c r="Q100" s="5"/>
    </row>
    <row r="101" ht="15.75" customHeight="1">
      <c r="A101" s="5"/>
      <c r="B101" s="112"/>
      <c r="C101" s="112"/>
      <c r="D101" s="112"/>
      <c r="E101" s="112"/>
      <c r="F101" s="5"/>
      <c r="G101" s="5"/>
      <c r="H101" s="5"/>
      <c r="I101" s="5"/>
      <c r="J101" s="5"/>
      <c r="K101" s="5"/>
      <c r="L101" s="5"/>
      <c r="M101" s="5"/>
      <c r="N101" s="5"/>
      <c r="O101" s="5"/>
      <c r="P101" s="5"/>
      <c r="Q101" s="5"/>
    </row>
    <row r="102" ht="15.75" customHeight="1">
      <c r="A102" s="5"/>
      <c r="B102" s="112"/>
      <c r="C102" s="112"/>
      <c r="D102" s="112"/>
      <c r="E102" s="112"/>
      <c r="F102" s="5"/>
      <c r="G102" s="5"/>
      <c r="H102" s="5"/>
      <c r="I102" s="5"/>
      <c r="J102" s="5"/>
      <c r="K102" s="5"/>
      <c r="L102" s="5"/>
      <c r="M102" s="5"/>
      <c r="N102" s="5"/>
      <c r="O102" s="5"/>
      <c r="P102" s="5"/>
      <c r="Q102" s="5"/>
    </row>
    <row r="103" ht="15.75" customHeight="1">
      <c r="A103" s="5"/>
      <c r="B103" s="112"/>
      <c r="C103" s="112"/>
      <c r="D103" s="112"/>
      <c r="E103" s="112"/>
      <c r="F103" s="5"/>
      <c r="G103" s="5"/>
      <c r="H103" s="5"/>
      <c r="I103" s="5"/>
      <c r="J103" s="5"/>
      <c r="K103" s="5"/>
      <c r="L103" s="5"/>
      <c r="M103" s="5"/>
      <c r="N103" s="5"/>
      <c r="O103" s="5"/>
      <c r="P103" s="5"/>
      <c r="Q103" s="5"/>
    </row>
    <row r="104" ht="15.75" customHeight="1">
      <c r="A104" s="5"/>
      <c r="B104" s="112"/>
      <c r="C104" s="112"/>
      <c r="D104" s="112"/>
      <c r="E104" s="112"/>
      <c r="F104" s="5"/>
      <c r="G104" s="5"/>
      <c r="H104" s="5"/>
      <c r="I104" s="5"/>
      <c r="J104" s="5"/>
      <c r="K104" s="5"/>
      <c r="L104" s="5"/>
      <c r="M104" s="5"/>
      <c r="N104" s="5"/>
      <c r="O104" s="5"/>
      <c r="P104" s="5"/>
      <c r="Q104" s="5"/>
    </row>
    <row r="105" ht="15.75" customHeight="1">
      <c r="A105" s="5"/>
      <c r="B105" s="112"/>
      <c r="C105" s="112"/>
      <c r="D105" s="112"/>
      <c r="E105" s="112"/>
      <c r="F105" s="5"/>
      <c r="G105" s="5"/>
      <c r="H105" s="5"/>
      <c r="I105" s="5"/>
      <c r="J105" s="5"/>
      <c r="K105" s="5"/>
      <c r="L105" s="5"/>
      <c r="M105" s="5"/>
      <c r="N105" s="5"/>
      <c r="O105" s="5"/>
      <c r="P105" s="5"/>
      <c r="Q105" s="5"/>
    </row>
    <row r="106" ht="15.75" customHeight="1">
      <c r="A106" s="5"/>
      <c r="B106" s="112"/>
      <c r="C106" s="112"/>
      <c r="D106" s="112"/>
      <c r="E106" s="112"/>
      <c r="F106" s="5"/>
      <c r="G106" s="5"/>
      <c r="H106" s="5"/>
      <c r="I106" s="5"/>
      <c r="J106" s="5"/>
      <c r="K106" s="5"/>
      <c r="L106" s="5"/>
      <c r="M106" s="5"/>
      <c r="N106" s="5"/>
      <c r="O106" s="5"/>
      <c r="P106" s="5"/>
      <c r="Q106" s="5"/>
    </row>
    <row r="107" ht="15.75" customHeight="1">
      <c r="A107" s="5"/>
      <c r="B107" s="112"/>
      <c r="C107" s="112"/>
      <c r="D107" s="112"/>
      <c r="E107" s="112"/>
      <c r="F107" s="5"/>
      <c r="G107" s="5"/>
      <c r="H107" s="5"/>
      <c r="I107" s="5"/>
      <c r="J107" s="5"/>
      <c r="K107" s="5"/>
      <c r="L107" s="5"/>
      <c r="M107" s="5"/>
      <c r="N107" s="5"/>
      <c r="O107" s="5"/>
      <c r="P107" s="5"/>
      <c r="Q107" s="5"/>
    </row>
    <row r="108" ht="15.75" customHeight="1">
      <c r="A108" s="5"/>
      <c r="B108" s="112"/>
      <c r="C108" s="112"/>
      <c r="D108" s="112"/>
      <c r="E108" s="112"/>
      <c r="F108" s="5"/>
      <c r="G108" s="5"/>
      <c r="H108" s="5"/>
      <c r="I108" s="5"/>
      <c r="J108" s="5"/>
      <c r="K108" s="5"/>
      <c r="L108" s="5"/>
      <c r="M108" s="5"/>
      <c r="N108" s="5"/>
      <c r="O108" s="5"/>
      <c r="P108" s="5"/>
      <c r="Q108" s="5"/>
    </row>
    <row r="109" ht="15.75" customHeight="1">
      <c r="A109" s="5"/>
      <c r="B109" s="112"/>
      <c r="C109" s="112"/>
      <c r="D109" s="112"/>
      <c r="E109" s="112"/>
      <c r="F109" s="5"/>
      <c r="G109" s="5"/>
      <c r="H109" s="5"/>
      <c r="I109" s="5"/>
      <c r="J109" s="5"/>
      <c r="K109" s="5"/>
      <c r="L109" s="5"/>
      <c r="M109" s="5"/>
      <c r="N109" s="5"/>
      <c r="O109" s="5"/>
      <c r="P109" s="5"/>
      <c r="Q109" s="5"/>
    </row>
    <row r="110" ht="15.75" customHeight="1">
      <c r="A110" s="5"/>
      <c r="B110" s="112"/>
      <c r="C110" s="112"/>
      <c r="D110" s="112"/>
      <c r="E110" s="112"/>
      <c r="F110" s="5"/>
      <c r="G110" s="5"/>
      <c r="H110" s="5"/>
      <c r="I110" s="5"/>
      <c r="J110" s="5"/>
      <c r="K110" s="5"/>
      <c r="L110" s="5"/>
      <c r="M110" s="5"/>
      <c r="N110" s="5"/>
      <c r="O110" s="5"/>
      <c r="P110" s="5"/>
      <c r="Q110" s="5"/>
    </row>
    <row r="111" ht="15.75" customHeight="1">
      <c r="A111" s="5"/>
      <c r="B111" s="112"/>
      <c r="C111" s="112"/>
      <c r="D111" s="112"/>
      <c r="E111" s="112"/>
      <c r="F111" s="5"/>
      <c r="G111" s="5"/>
      <c r="H111" s="5"/>
      <c r="I111" s="5"/>
      <c r="J111" s="5"/>
      <c r="K111" s="5"/>
      <c r="L111" s="5"/>
      <c r="M111" s="5"/>
      <c r="N111" s="5"/>
      <c r="O111" s="5"/>
      <c r="P111" s="5"/>
      <c r="Q111" s="5"/>
    </row>
    <row r="112" ht="15.75" customHeight="1">
      <c r="A112" s="5"/>
      <c r="B112" s="112"/>
      <c r="C112" s="112"/>
      <c r="D112" s="112"/>
      <c r="E112" s="112"/>
      <c r="F112" s="5"/>
      <c r="G112" s="5"/>
      <c r="H112" s="5"/>
      <c r="I112" s="5"/>
      <c r="J112" s="5"/>
      <c r="K112" s="5"/>
      <c r="L112" s="5"/>
      <c r="M112" s="5"/>
      <c r="N112" s="5"/>
      <c r="O112" s="5"/>
      <c r="P112" s="5"/>
      <c r="Q112" s="5"/>
    </row>
    <row r="113" ht="15.75" customHeight="1">
      <c r="A113" s="5"/>
      <c r="B113" s="112"/>
      <c r="C113" s="112"/>
      <c r="D113" s="112"/>
      <c r="E113" s="112"/>
      <c r="F113" s="5"/>
      <c r="G113" s="5"/>
      <c r="H113" s="5"/>
      <c r="I113" s="5"/>
      <c r="J113" s="5"/>
      <c r="K113" s="5"/>
      <c r="L113" s="5"/>
      <c r="M113" s="5"/>
      <c r="N113" s="5"/>
      <c r="O113" s="5"/>
      <c r="P113" s="5"/>
      <c r="Q113" s="5"/>
    </row>
    <row r="114" ht="15.75" customHeight="1">
      <c r="A114" s="5"/>
      <c r="B114" s="112"/>
      <c r="C114" s="112"/>
      <c r="D114" s="112"/>
      <c r="E114" s="112"/>
      <c r="F114" s="5"/>
      <c r="G114" s="5"/>
      <c r="H114" s="5"/>
      <c r="I114" s="5"/>
      <c r="J114" s="5"/>
      <c r="K114" s="5"/>
      <c r="L114" s="5"/>
      <c r="M114" s="5"/>
      <c r="N114" s="5"/>
      <c r="O114" s="5"/>
      <c r="P114" s="5"/>
      <c r="Q114" s="5"/>
    </row>
    <row r="115" ht="15.75" customHeight="1">
      <c r="A115" s="5"/>
      <c r="B115" s="112"/>
      <c r="C115" s="112"/>
      <c r="D115" s="112"/>
      <c r="E115" s="112"/>
      <c r="F115" s="5"/>
      <c r="G115" s="5"/>
      <c r="H115" s="5"/>
      <c r="I115" s="5"/>
      <c r="J115" s="5"/>
      <c r="K115" s="5"/>
      <c r="L115" s="5"/>
      <c r="M115" s="5"/>
      <c r="N115" s="5"/>
      <c r="O115" s="5"/>
      <c r="P115" s="5"/>
      <c r="Q115" s="5"/>
    </row>
    <row r="116" ht="15.75" customHeight="1">
      <c r="A116" s="5"/>
      <c r="B116" s="112"/>
      <c r="C116" s="112"/>
      <c r="D116" s="112"/>
      <c r="E116" s="112"/>
      <c r="F116" s="5"/>
      <c r="G116" s="5"/>
      <c r="H116" s="5"/>
      <c r="I116" s="5"/>
      <c r="J116" s="5"/>
      <c r="K116" s="5"/>
      <c r="L116" s="5"/>
      <c r="M116" s="5"/>
      <c r="N116" s="5"/>
      <c r="O116" s="5"/>
      <c r="P116" s="5"/>
      <c r="Q116" s="5"/>
    </row>
    <row r="117" ht="15.75" customHeight="1">
      <c r="A117" s="5"/>
      <c r="B117" s="112"/>
      <c r="C117" s="112"/>
      <c r="D117" s="112"/>
      <c r="E117" s="112"/>
      <c r="F117" s="5"/>
      <c r="G117" s="5"/>
      <c r="H117" s="5"/>
      <c r="I117" s="5"/>
      <c r="J117" s="5"/>
      <c r="K117" s="5"/>
      <c r="L117" s="5"/>
      <c r="M117" s="5"/>
      <c r="N117" s="5"/>
      <c r="O117" s="5"/>
      <c r="P117" s="5"/>
      <c r="Q117" s="5"/>
    </row>
    <row r="118" ht="15.75" customHeight="1">
      <c r="A118" s="5"/>
      <c r="B118" s="112"/>
      <c r="C118" s="112"/>
      <c r="D118" s="112"/>
      <c r="E118" s="112"/>
      <c r="F118" s="5"/>
      <c r="G118" s="5"/>
      <c r="H118" s="5"/>
      <c r="I118" s="5"/>
      <c r="J118" s="5"/>
      <c r="K118" s="5"/>
      <c r="L118" s="5"/>
      <c r="M118" s="5"/>
      <c r="N118" s="5"/>
      <c r="O118" s="5"/>
      <c r="P118" s="5"/>
      <c r="Q118" s="5"/>
    </row>
    <row r="119" ht="15.75" customHeight="1">
      <c r="A119" s="5"/>
      <c r="B119" s="112"/>
      <c r="C119" s="112"/>
      <c r="D119" s="112"/>
      <c r="E119" s="112"/>
      <c r="F119" s="5"/>
      <c r="G119" s="5"/>
      <c r="H119" s="5"/>
      <c r="I119" s="5"/>
      <c r="J119" s="5"/>
      <c r="K119" s="5"/>
      <c r="L119" s="5"/>
      <c r="M119" s="5"/>
      <c r="N119" s="5"/>
      <c r="O119" s="5"/>
      <c r="P119" s="5"/>
      <c r="Q119" s="5"/>
    </row>
    <row r="120" ht="15.75" customHeight="1">
      <c r="A120" s="5"/>
      <c r="B120" s="112"/>
      <c r="C120" s="112"/>
      <c r="D120" s="112"/>
      <c r="E120" s="112"/>
      <c r="F120" s="5"/>
      <c r="G120" s="5"/>
      <c r="H120" s="5"/>
      <c r="I120" s="5"/>
      <c r="J120" s="5"/>
      <c r="K120" s="5"/>
      <c r="L120" s="5"/>
      <c r="M120" s="5"/>
      <c r="N120" s="5"/>
      <c r="O120" s="5"/>
      <c r="P120" s="5"/>
      <c r="Q120" s="5"/>
    </row>
    <row r="121" ht="15.75" customHeight="1">
      <c r="A121" s="5"/>
      <c r="B121" s="112"/>
      <c r="C121" s="112"/>
      <c r="D121" s="112"/>
      <c r="E121" s="112"/>
      <c r="F121" s="5"/>
      <c r="G121" s="5"/>
      <c r="H121" s="5"/>
      <c r="I121" s="5"/>
      <c r="J121" s="5"/>
      <c r="K121" s="5"/>
      <c r="L121" s="5"/>
      <c r="M121" s="5"/>
      <c r="N121" s="5"/>
      <c r="O121" s="5"/>
      <c r="P121" s="5"/>
      <c r="Q121" s="5"/>
    </row>
    <row r="122" ht="15.75" customHeight="1">
      <c r="A122" s="5"/>
      <c r="B122" s="112"/>
      <c r="C122" s="112"/>
      <c r="D122" s="112"/>
      <c r="E122" s="112"/>
      <c r="F122" s="5"/>
      <c r="G122" s="5"/>
      <c r="H122" s="5"/>
      <c r="I122" s="5"/>
      <c r="J122" s="5"/>
      <c r="K122" s="5"/>
      <c r="L122" s="5"/>
      <c r="M122" s="5"/>
      <c r="N122" s="5"/>
      <c r="O122" s="5"/>
      <c r="P122" s="5"/>
      <c r="Q122" s="5"/>
    </row>
    <row r="123" ht="15.75" customHeight="1">
      <c r="A123" s="5"/>
      <c r="B123" s="112"/>
      <c r="C123" s="112"/>
      <c r="D123" s="112"/>
      <c r="E123" s="112"/>
      <c r="F123" s="5"/>
      <c r="G123" s="5"/>
      <c r="H123" s="5"/>
      <c r="I123" s="5"/>
      <c r="J123" s="5"/>
      <c r="K123" s="5"/>
      <c r="L123" s="5"/>
      <c r="M123" s="5"/>
      <c r="N123" s="5"/>
      <c r="O123" s="5"/>
      <c r="P123" s="5"/>
      <c r="Q123" s="5"/>
    </row>
    <row r="124" ht="15.75" customHeight="1">
      <c r="A124" s="5"/>
      <c r="B124" s="112"/>
      <c r="C124" s="112"/>
      <c r="D124" s="112"/>
      <c r="E124" s="112"/>
      <c r="F124" s="5"/>
      <c r="G124" s="5"/>
      <c r="H124" s="5"/>
      <c r="I124" s="5"/>
      <c r="J124" s="5"/>
      <c r="K124" s="5"/>
      <c r="L124" s="5"/>
      <c r="M124" s="5"/>
      <c r="N124" s="5"/>
      <c r="O124" s="5"/>
      <c r="P124" s="5"/>
      <c r="Q124" s="5"/>
    </row>
    <row r="125" ht="15.75" customHeight="1">
      <c r="A125" s="5"/>
      <c r="B125" s="112"/>
      <c r="C125" s="112"/>
      <c r="D125" s="112"/>
      <c r="E125" s="112"/>
      <c r="F125" s="5"/>
      <c r="G125" s="5"/>
      <c r="H125" s="5"/>
      <c r="I125" s="5"/>
      <c r="J125" s="5"/>
      <c r="K125" s="5"/>
      <c r="L125" s="5"/>
      <c r="M125" s="5"/>
      <c r="N125" s="5"/>
      <c r="O125" s="5"/>
      <c r="P125" s="5"/>
      <c r="Q125" s="5"/>
    </row>
    <row r="126" ht="15.75" customHeight="1">
      <c r="A126" s="5"/>
      <c r="B126" s="112"/>
      <c r="C126" s="112"/>
      <c r="D126" s="112"/>
      <c r="E126" s="112"/>
      <c r="F126" s="5"/>
      <c r="G126" s="5"/>
      <c r="H126" s="5"/>
      <c r="I126" s="5"/>
      <c r="J126" s="5"/>
      <c r="K126" s="5"/>
      <c r="L126" s="5"/>
      <c r="M126" s="5"/>
      <c r="N126" s="5"/>
      <c r="O126" s="5"/>
      <c r="P126" s="5"/>
      <c r="Q126" s="5"/>
    </row>
    <row r="127" ht="15.75" customHeight="1">
      <c r="A127" s="5"/>
      <c r="B127" s="112"/>
      <c r="C127" s="112"/>
      <c r="D127" s="112"/>
      <c r="E127" s="112"/>
      <c r="F127" s="5"/>
      <c r="G127" s="5"/>
      <c r="H127" s="5"/>
      <c r="I127" s="5"/>
      <c r="J127" s="5"/>
      <c r="K127" s="5"/>
      <c r="L127" s="5"/>
      <c r="M127" s="5"/>
      <c r="N127" s="5"/>
      <c r="O127" s="5"/>
      <c r="P127" s="5"/>
      <c r="Q127" s="5"/>
    </row>
    <row r="128" ht="15.75" customHeight="1">
      <c r="A128" s="5"/>
      <c r="B128" s="112"/>
      <c r="C128" s="112"/>
      <c r="D128" s="112"/>
      <c r="E128" s="112"/>
      <c r="F128" s="5"/>
      <c r="G128" s="5"/>
      <c r="H128" s="5"/>
      <c r="I128" s="5"/>
      <c r="J128" s="5"/>
      <c r="K128" s="5"/>
      <c r="L128" s="5"/>
      <c r="M128" s="5"/>
      <c r="N128" s="5"/>
      <c r="O128" s="5"/>
      <c r="P128" s="5"/>
      <c r="Q128" s="5"/>
    </row>
    <row r="129" ht="15.75" customHeight="1">
      <c r="A129" s="5"/>
      <c r="B129" s="112"/>
      <c r="C129" s="112"/>
      <c r="D129" s="112"/>
      <c r="E129" s="112"/>
      <c r="F129" s="5"/>
      <c r="G129" s="5"/>
      <c r="H129" s="5"/>
      <c r="I129" s="5"/>
      <c r="J129" s="5"/>
      <c r="K129" s="5"/>
      <c r="L129" s="5"/>
      <c r="M129" s="5"/>
      <c r="N129" s="5"/>
      <c r="O129" s="5"/>
      <c r="P129" s="5"/>
      <c r="Q129" s="5"/>
    </row>
    <row r="130" ht="15.75" customHeight="1">
      <c r="A130" s="5"/>
      <c r="B130" s="112"/>
      <c r="C130" s="112"/>
      <c r="D130" s="112"/>
      <c r="E130" s="112"/>
      <c r="F130" s="5"/>
      <c r="G130" s="5"/>
      <c r="H130" s="5"/>
      <c r="I130" s="5"/>
      <c r="J130" s="5"/>
      <c r="K130" s="5"/>
      <c r="L130" s="5"/>
      <c r="M130" s="5"/>
      <c r="N130" s="5"/>
      <c r="O130" s="5"/>
      <c r="P130" s="5"/>
      <c r="Q130" s="5"/>
    </row>
    <row r="131" ht="15.75" customHeight="1">
      <c r="A131" s="5"/>
      <c r="B131" s="112"/>
      <c r="C131" s="112"/>
      <c r="D131" s="112"/>
      <c r="E131" s="112"/>
      <c r="F131" s="5"/>
      <c r="G131" s="5"/>
      <c r="H131" s="5"/>
      <c r="I131" s="5"/>
      <c r="J131" s="5"/>
      <c r="K131" s="5"/>
      <c r="L131" s="5"/>
      <c r="M131" s="5"/>
      <c r="N131" s="5"/>
      <c r="O131" s="5"/>
      <c r="P131" s="5"/>
      <c r="Q131" s="5"/>
    </row>
    <row r="132" ht="15.75" customHeight="1">
      <c r="A132" s="5"/>
      <c r="B132" s="112"/>
      <c r="C132" s="112"/>
      <c r="D132" s="112"/>
      <c r="E132" s="112"/>
      <c r="F132" s="5"/>
      <c r="G132" s="5"/>
      <c r="H132" s="5"/>
      <c r="I132" s="5"/>
      <c r="J132" s="5"/>
      <c r="K132" s="5"/>
      <c r="L132" s="5"/>
      <c r="M132" s="5"/>
      <c r="N132" s="5"/>
      <c r="O132" s="5"/>
      <c r="P132" s="5"/>
      <c r="Q132" s="5"/>
    </row>
    <row r="133" ht="15.75" customHeight="1">
      <c r="A133" s="5"/>
      <c r="B133" s="112"/>
      <c r="C133" s="112"/>
      <c r="D133" s="112"/>
      <c r="E133" s="112"/>
      <c r="F133" s="5"/>
      <c r="G133" s="5"/>
      <c r="H133" s="5"/>
      <c r="I133" s="5"/>
      <c r="J133" s="5"/>
      <c r="K133" s="5"/>
      <c r="L133" s="5"/>
      <c r="M133" s="5"/>
      <c r="N133" s="5"/>
      <c r="O133" s="5"/>
      <c r="P133" s="5"/>
      <c r="Q133" s="5"/>
    </row>
    <row r="134" ht="15.75" customHeight="1">
      <c r="A134" s="5"/>
      <c r="B134" s="112"/>
      <c r="C134" s="112"/>
      <c r="D134" s="112"/>
      <c r="E134" s="112"/>
      <c r="F134" s="5"/>
      <c r="G134" s="5"/>
      <c r="H134" s="5"/>
      <c r="I134" s="5"/>
      <c r="J134" s="5"/>
      <c r="K134" s="5"/>
      <c r="L134" s="5"/>
      <c r="M134" s="5"/>
      <c r="N134" s="5"/>
      <c r="O134" s="5"/>
      <c r="P134" s="5"/>
      <c r="Q134" s="5"/>
    </row>
    <row r="135" ht="15.75" customHeight="1">
      <c r="A135" s="5"/>
      <c r="B135" s="112"/>
      <c r="C135" s="112"/>
      <c r="D135" s="112"/>
      <c r="E135" s="112"/>
      <c r="F135" s="5"/>
      <c r="G135" s="5"/>
      <c r="H135" s="5"/>
      <c r="I135" s="5"/>
      <c r="J135" s="5"/>
      <c r="K135" s="5"/>
      <c r="L135" s="5"/>
      <c r="M135" s="5"/>
      <c r="N135" s="5"/>
      <c r="O135" s="5"/>
      <c r="P135" s="5"/>
      <c r="Q135" s="5"/>
    </row>
    <row r="136" ht="15.75" customHeight="1">
      <c r="A136" s="5"/>
      <c r="B136" s="112"/>
      <c r="C136" s="112"/>
      <c r="D136" s="112"/>
      <c r="E136" s="112"/>
      <c r="F136" s="5"/>
      <c r="G136" s="5"/>
      <c r="H136" s="5"/>
      <c r="I136" s="5"/>
      <c r="J136" s="5"/>
      <c r="K136" s="5"/>
      <c r="L136" s="5"/>
      <c r="M136" s="5"/>
      <c r="N136" s="5"/>
      <c r="O136" s="5"/>
      <c r="P136" s="5"/>
      <c r="Q136" s="5"/>
    </row>
    <row r="137" ht="15.75" customHeight="1">
      <c r="A137" s="5"/>
      <c r="B137" s="112"/>
      <c r="C137" s="112"/>
      <c r="D137" s="112"/>
      <c r="E137" s="112"/>
      <c r="F137" s="5"/>
      <c r="G137" s="5"/>
      <c r="H137" s="5"/>
      <c r="I137" s="5"/>
      <c r="J137" s="5"/>
      <c r="K137" s="5"/>
      <c r="L137" s="5"/>
      <c r="M137" s="5"/>
      <c r="N137" s="5"/>
      <c r="O137" s="5"/>
      <c r="P137" s="5"/>
      <c r="Q137" s="5"/>
    </row>
    <row r="138" ht="15.75" customHeight="1">
      <c r="A138" s="5"/>
      <c r="B138" s="112"/>
      <c r="C138" s="112"/>
      <c r="D138" s="112"/>
      <c r="E138" s="112"/>
      <c r="F138" s="5"/>
      <c r="G138" s="5"/>
      <c r="H138" s="5"/>
      <c r="I138" s="5"/>
      <c r="J138" s="5"/>
      <c r="K138" s="5"/>
      <c r="L138" s="5"/>
      <c r="M138" s="5"/>
      <c r="N138" s="5"/>
      <c r="O138" s="5"/>
      <c r="P138" s="5"/>
      <c r="Q138" s="5"/>
    </row>
    <row r="139" ht="15.75" customHeight="1">
      <c r="A139" s="5"/>
      <c r="B139" s="112"/>
      <c r="C139" s="112"/>
      <c r="D139" s="112"/>
      <c r="E139" s="112"/>
      <c r="F139" s="5"/>
      <c r="G139" s="5"/>
      <c r="H139" s="5"/>
      <c r="I139" s="5"/>
      <c r="J139" s="5"/>
      <c r="K139" s="5"/>
      <c r="L139" s="5"/>
      <c r="M139" s="5"/>
      <c r="N139" s="5"/>
      <c r="O139" s="5"/>
      <c r="P139" s="5"/>
      <c r="Q139" s="5"/>
    </row>
    <row r="140" ht="15.75" customHeight="1">
      <c r="A140" s="5"/>
      <c r="B140" s="112"/>
      <c r="C140" s="112"/>
      <c r="D140" s="112"/>
      <c r="E140" s="112"/>
      <c r="F140" s="5"/>
      <c r="G140" s="5"/>
      <c r="H140" s="5"/>
      <c r="I140" s="5"/>
      <c r="J140" s="5"/>
      <c r="K140" s="5"/>
      <c r="L140" s="5"/>
      <c r="M140" s="5"/>
      <c r="N140" s="5"/>
      <c r="O140" s="5"/>
      <c r="P140" s="5"/>
      <c r="Q140" s="5"/>
    </row>
    <row r="141" ht="15.75" customHeight="1">
      <c r="A141" s="5"/>
      <c r="B141" s="112"/>
      <c r="C141" s="112"/>
      <c r="D141" s="112"/>
      <c r="E141" s="112"/>
      <c r="F141" s="5"/>
      <c r="G141" s="5"/>
      <c r="H141" s="5"/>
      <c r="I141" s="5"/>
      <c r="J141" s="5"/>
      <c r="K141" s="5"/>
      <c r="L141" s="5"/>
      <c r="M141" s="5"/>
      <c r="N141" s="5"/>
      <c r="O141" s="5"/>
      <c r="P141" s="5"/>
      <c r="Q141" s="5"/>
    </row>
    <row r="142" ht="15.75" customHeight="1">
      <c r="A142" s="5"/>
      <c r="B142" s="112"/>
      <c r="C142" s="112"/>
      <c r="D142" s="112"/>
      <c r="E142" s="112"/>
      <c r="F142" s="5"/>
      <c r="G142" s="5"/>
      <c r="H142" s="5"/>
      <c r="I142" s="5"/>
      <c r="J142" s="5"/>
      <c r="K142" s="5"/>
      <c r="L142" s="5"/>
      <c r="M142" s="5"/>
      <c r="N142" s="5"/>
      <c r="O142" s="5"/>
      <c r="P142" s="5"/>
      <c r="Q142" s="5"/>
    </row>
    <row r="143" ht="15.75" customHeight="1">
      <c r="A143" s="5"/>
      <c r="B143" s="112"/>
      <c r="C143" s="112"/>
      <c r="D143" s="112"/>
      <c r="E143" s="112"/>
      <c r="F143" s="5"/>
      <c r="G143" s="5"/>
      <c r="H143" s="5"/>
      <c r="I143" s="5"/>
      <c r="J143" s="5"/>
      <c r="K143" s="5"/>
      <c r="L143" s="5"/>
      <c r="M143" s="5"/>
      <c r="N143" s="5"/>
      <c r="O143" s="5"/>
      <c r="P143" s="5"/>
      <c r="Q143" s="5"/>
    </row>
    <row r="144" ht="15.75" customHeight="1">
      <c r="A144" s="5"/>
      <c r="B144" s="112"/>
      <c r="C144" s="112"/>
      <c r="D144" s="112"/>
      <c r="E144" s="112"/>
      <c r="F144" s="5"/>
      <c r="G144" s="5"/>
      <c r="H144" s="5"/>
      <c r="I144" s="5"/>
      <c r="J144" s="5"/>
      <c r="K144" s="5"/>
      <c r="L144" s="5"/>
      <c r="M144" s="5"/>
      <c r="N144" s="5"/>
      <c r="O144" s="5"/>
      <c r="P144" s="5"/>
      <c r="Q144" s="5"/>
    </row>
    <row r="145" ht="15.75" customHeight="1">
      <c r="A145" s="5"/>
      <c r="B145" s="112"/>
      <c r="C145" s="112"/>
      <c r="D145" s="112"/>
      <c r="E145" s="112"/>
      <c r="F145" s="5"/>
      <c r="G145" s="5"/>
      <c r="H145" s="5"/>
      <c r="I145" s="5"/>
      <c r="J145" s="5"/>
      <c r="K145" s="5"/>
      <c r="L145" s="5"/>
      <c r="M145" s="5"/>
      <c r="N145" s="5"/>
      <c r="O145" s="5"/>
      <c r="P145" s="5"/>
      <c r="Q145" s="5"/>
    </row>
    <row r="146" ht="15.75" customHeight="1">
      <c r="A146" s="5"/>
      <c r="B146" s="112"/>
      <c r="C146" s="112"/>
      <c r="D146" s="112"/>
      <c r="E146" s="112"/>
      <c r="F146" s="5"/>
      <c r="G146" s="5"/>
      <c r="H146" s="5"/>
      <c r="I146" s="5"/>
      <c r="J146" s="5"/>
      <c r="K146" s="5"/>
      <c r="L146" s="5"/>
      <c r="M146" s="5"/>
      <c r="N146" s="5"/>
      <c r="O146" s="5"/>
      <c r="P146" s="5"/>
      <c r="Q146" s="5"/>
    </row>
    <row r="147" ht="15.75" customHeight="1">
      <c r="A147" s="5"/>
      <c r="B147" s="112"/>
      <c r="C147" s="112"/>
      <c r="D147" s="112"/>
      <c r="E147" s="112"/>
      <c r="F147" s="5"/>
      <c r="G147" s="5"/>
      <c r="H147" s="5"/>
      <c r="I147" s="5"/>
      <c r="J147" s="5"/>
      <c r="K147" s="5"/>
      <c r="L147" s="5"/>
      <c r="M147" s="5"/>
      <c r="N147" s="5"/>
      <c r="O147" s="5"/>
      <c r="P147" s="5"/>
      <c r="Q147" s="5"/>
    </row>
    <row r="148" ht="15.75" customHeight="1">
      <c r="A148" s="5"/>
      <c r="B148" s="112"/>
      <c r="C148" s="112"/>
      <c r="D148" s="112"/>
      <c r="E148" s="112"/>
      <c r="F148" s="5"/>
      <c r="G148" s="5"/>
      <c r="H148" s="5"/>
      <c r="I148" s="5"/>
      <c r="J148" s="5"/>
      <c r="K148" s="5"/>
      <c r="L148" s="5"/>
      <c r="M148" s="5"/>
      <c r="N148" s="5"/>
      <c r="O148" s="5"/>
      <c r="P148" s="5"/>
      <c r="Q148" s="5"/>
    </row>
    <row r="149" ht="15.75" customHeight="1">
      <c r="A149" s="5"/>
      <c r="B149" s="112"/>
      <c r="C149" s="112"/>
      <c r="D149" s="112"/>
      <c r="E149" s="112"/>
      <c r="F149" s="5"/>
      <c r="G149" s="5"/>
      <c r="H149" s="5"/>
      <c r="I149" s="5"/>
      <c r="J149" s="5"/>
      <c r="K149" s="5"/>
      <c r="L149" s="5"/>
      <c r="M149" s="5"/>
      <c r="N149" s="5"/>
      <c r="O149" s="5"/>
      <c r="P149" s="5"/>
      <c r="Q149" s="5"/>
    </row>
    <row r="150" ht="15.75" customHeight="1">
      <c r="A150" s="5"/>
      <c r="B150" s="112"/>
      <c r="C150" s="112"/>
      <c r="D150" s="112"/>
      <c r="E150" s="112"/>
      <c r="F150" s="5"/>
      <c r="G150" s="5"/>
      <c r="H150" s="5"/>
      <c r="I150" s="5"/>
      <c r="J150" s="5"/>
      <c r="K150" s="5"/>
      <c r="L150" s="5"/>
      <c r="M150" s="5"/>
      <c r="N150" s="5"/>
      <c r="O150" s="5"/>
      <c r="P150" s="5"/>
      <c r="Q150" s="5"/>
    </row>
    <row r="151" ht="15.75" customHeight="1">
      <c r="A151" s="5"/>
      <c r="B151" s="112"/>
      <c r="C151" s="112"/>
      <c r="D151" s="112"/>
      <c r="E151" s="112"/>
      <c r="F151" s="5"/>
      <c r="G151" s="5"/>
      <c r="H151" s="5"/>
      <c r="I151" s="5"/>
      <c r="J151" s="5"/>
      <c r="K151" s="5"/>
      <c r="L151" s="5"/>
      <c r="M151" s="5"/>
      <c r="N151" s="5"/>
      <c r="O151" s="5"/>
      <c r="P151" s="5"/>
      <c r="Q151" s="5"/>
    </row>
    <row r="152" ht="15.75" customHeight="1">
      <c r="A152" s="5"/>
      <c r="B152" s="112"/>
      <c r="C152" s="112"/>
      <c r="D152" s="112"/>
      <c r="E152" s="112"/>
      <c r="F152" s="5"/>
      <c r="G152" s="5"/>
      <c r="H152" s="5"/>
      <c r="I152" s="5"/>
      <c r="J152" s="5"/>
      <c r="K152" s="5"/>
      <c r="L152" s="5"/>
      <c r="M152" s="5"/>
      <c r="N152" s="5"/>
      <c r="O152" s="5"/>
      <c r="P152" s="5"/>
      <c r="Q152" s="5"/>
    </row>
    <row r="153" ht="15.75" customHeight="1">
      <c r="A153" s="5"/>
      <c r="B153" s="112"/>
      <c r="C153" s="112"/>
      <c r="D153" s="112"/>
      <c r="E153" s="112"/>
      <c r="F153" s="5"/>
      <c r="G153" s="5"/>
      <c r="H153" s="5"/>
      <c r="I153" s="5"/>
      <c r="J153" s="5"/>
      <c r="K153" s="5"/>
      <c r="L153" s="5"/>
      <c r="M153" s="5"/>
      <c r="N153" s="5"/>
      <c r="O153" s="5"/>
      <c r="P153" s="5"/>
      <c r="Q153" s="5"/>
    </row>
    <row r="154" ht="15.75" customHeight="1">
      <c r="A154" s="5"/>
      <c r="B154" s="112"/>
      <c r="C154" s="112"/>
      <c r="D154" s="112"/>
      <c r="E154" s="112"/>
      <c r="F154" s="5"/>
      <c r="G154" s="5"/>
      <c r="H154" s="5"/>
      <c r="I154" s="5"/>
      <c r="J154" s="5"/>
      <c r="K154" s="5"/>
      <c r="L154" s="5"/>
      <c r="M154" s="5"/>
      <c r="N154" s="5"/>
      <c r="O154" s="5"/>
      <c r="P154" s="5"/>
      <c r="Q154" s="5"/>
    </row>
    <row r="155" ht="15.75" customHeight="1">
      <c r="A155" s="5"/>
      <c r="B155" s="112"/>
      <c r="C155" s="112"/>
      <c r="D155" s="112"/>
      <c r="E155" s="112"/>
      <c r="F155" s="5"/>
      <c r="G155" s="5"/>
      <c r="H155" s="5"/>
      <c r="I155" s="5"/>
      <c r="J155" s="5"/>
      <c r="K155" s="5"/>
      <c r="L155" s="5"/>
      <c r="M155" s="5"/>
      <c r="N155" s="5"/>
      <c r="O155" s="5"/>
      <c r="P155" s="5"/>
      <c r="Q155" s="5"/>
    </row>
    <row r="156" ht="15.75" customHeight="1">
      <c r="A156" s="5"/>
      <c r="B156" s="112"/>
      <c r="C156" s="112"/>
      <c r="D156" s="112"/>
      <c r="E156" s="112"/>
      <c r="F156" s="5"/>
      <c r="G156" s="5"/>
      <c r="H156" s="5"/>
      <c r="I156" s="5"/>
      <c r="J156" s="5"/>
      <c r="K156" s="5"/>
      <c r="L156" s="5"/>
      <c r="M156" s="5"/>
      <c r="N156" s="5"/>
      <c r="O156" s="5"/>
      <c r="P156" s="5"/>
      <c r="Q156" s="5"/>
    </row>
    <row r="157" ht="15.75" customHeight="1">
      <c r="A157" s="5"/>
      <c r="B157" s="112"/>
      <c r="C157" s="112"/>
      <c r="D157" s="112"/>
      <c r="E157" s="112"/>
      <c r="F157" s="5"/>
      <c r="G157" s="5"/>
      <c r="H157" s="5"/>
      <c r="I157" s="5"/>
      <c r="J157" s="5"/>
      <c r="K157" s="5"/>
      <c r="L157" s="5"/>
      <c r="M157" s="5"/>
      <c r="N157" s="5"/>
      <c r="O157" s="5"/>
      <c r="P157" s="5"/>
      <c r="Q157" s="5"/>
    </row>
    <row r="158" ht="15.75" customHeight="1">
      <c r="A158" s="5"/>
      <c r="B158" s="112"/>
      <c r="C158" s="112"/>
      <c r="D158" s="112"/>
      <c r="E158" s="112"/>
      <c r="F158" s="5"/>
      <c r="G158" s="5"/>
      <c r="H158" s="5"/>
      <c r="I158" s="5"/>
      <c r="J158" s="5"/>
      <c r="K158" s="5"/>
      <c r="L158" s="5"/>
      <c r="M158" s="5"/>
      <c r="N158" s="5"/>
      <c r="O158" s="5"/>
      <c r="P158" s="5"/>
      <c r="Q158" s="5"/>
    </row>
    <row r="159" ht="15.75" customHeight="1">
      <c r="A159" s="5"/>
      <c r="B159" s="112"/>
      <c r="C159" s="112"/>
      <c r="D159" s="112"/>
      <c r="E159" s="112"/>
      <c r="F159" s="5"/>
      <c r="G159" s="5"/>
      <c r="H159" s="5"/>
      <c r="I159" s="5"/>
      <c r="J159" s="5"/>
      <c r="K159" s="5"/>
      <c r="L159" s="5"/>
      <c r="M159" s="5"/>
      <c r="N159" s="5"/>
      <c r="O159" s="5"/>
      <c r="P159" s="5"/>
      <c r="Q159" s="5"/>
    </row>
    <row r="160" ht="15.75" customHeight="1">
      <c r="A160" s="5"/>
      <c r="B160" s="112"/>
      <c r="C160" s="112"/>
      <c r="D160" s="112"/>
      <c r="E160" s="112"/>
      <c r="F160" s="5"/>
      <c r="G160" s="5"/>
      <c r="H160" s="5"/>
      <c r="I160" s="5"/>
      <c r="J160" s="5"/>
      <c r="K160" s="5"/>
      <c r="L160" s="5"/>
      <c r="M160" s="5"/>
      <c r="N160" s="5"/>
      <c r="O160" s="5"/>
      <c r="P160" s="5"/>
      <c r="Q160" s="5"/>
    </row>
    <row r="161" ht="15.75" customHeight="1">
      <c r="A161" s="5"/>
      <c r="B161" s="112"/>
      <c r="C161" s="112"/>
      <c r="D161" s="112"/>
      <c r="E161" s="112"/>
      <c r="F161" s="5"/>
      <c r="G161" s="5"/>
      <c r="H161" s="5"/>
      <c r="I161" s="5"/>
      <c r="J161" s="5"/>
      <c r="K161" s="5"/>
      <c r="L161" s="5"/>
      <c r="M161" s="5"/>
      <c r="N161" s="5"/>
      <c r="O161" s="5"/>
      <c r="P161" s="5"/>
      <c r="Q161" s="5"/>
    </row>
    <row r="162" ht="15.75" customHeight="1">
      <c r="A162" s="5"/>
      <c r="B162" s="112"/>
      <c r="C162" s="112"/>
      <c r="D162" s="112"/>
      <c r="E162" s="112"/>
      <c r="F162" s="5"/>
      <c r="G162" s="5"/>
      <c r="H162" s="5"/>
      <c r="I162" s="5"/>
      <c r="J162" s="5"/>
      <c r="K162" s="5"/>
      <c r="L162" s="5"/>
      <c r="M162" s="5"/>
      <c r="N162" s="5"/>
      <c r="O162" s="5"/>
      <c r="P162" s="5"/>
      <c r="Q162" s="5"/>
    </row>
    <row r="163" ht="15.75" customHeight="1">
      <c r="A163" s="5"/>
      <c r="B163" s="112"/>
      <c r="C163" s="112"/>
      <c r="D163" s="112"/>
      <c r="E163" s="112"/>
      <c r="F163" s="5"/>
      <c r="G163" s="5"/>
      <c r="H163" s="5"/>
      <c r="I163" s="5"/>
      <c r="J163" s="5"/>
      <c r="K163" s="5"/>
      <c r="L163" s="5"/>
      <c r="M163" s="5"/>
      <c r="N163" s="5"/>
      <c r="O163" s="5"/>
      <c r="P163" s="5"/>
      <c r="Q163" s="5"/>
    </row>
    <row r="164" ht="15.75" customHeight="1">
      <c r="A164" s="5"/>
      <c r="B164" s="112"/>
      <c r="C164" s="112"/>
      <c r="D164" s="112"/>
      <c r="E164" s="112"/>
      <c r="F164" s="5"/>
      <c r="G164" s="5"/>
      <c r="H164" s="5"/>
      <c r="I164" s="5"/>
      <c r="J164" s="5"/>
      <c r="K164" s="5"/>
      <c r="L164" s="5"/>
      <c r="M164" s="5"/>
      <c r="N164" s="5"/>
      <c r="O164" s="5"/>
      <c r="P164" s="5"/>
      <c r="Q164" s="5"/>
    </row>
    <row r="165" ht="15.75" customHeight="1">
      <c r="A165" s="5"/>
      <c r="B165" s="112"/>
      <c r="C165" s="112"/>
      <c r="D165" s="112"/>
      <c r="E165" s="112"/>
      <c r="F165" s="5"/>
      <c r="G165" s="5"/>
      <c r="H165" s="5"/>
      <c r="I165" s="5"/>
      <c r="J165" s="5"/>
      <c r="K165" s="5"/>
      <c r="L165" s="5"/>
      <c r="M165" s="5"/>
      <c r="N165" s="5"/>
      <c r="O165" s="5"/>
      <c r="P165" s="5"/>
      <c r="Q165" s="5"/>
    </row>
    <row r="166" ht="15.75" customHeight="1">
      <c r="A166" s="5"/>
      <c r="B166" s="112"/>
      <c r="C166" s="112"/>
      <c r="D166" s="112"/>
      <c r="E166" s="112"/>
      <c r="F166" s="5"/>
      <c r="G166" s="5"/>
      <c r="H166" s="5"/>
      <c r="I166" s="5"/>
      <c r="J166" s="5"/>
      <c r="K166" s="5"/>
      <c r="L166" s="5"/>
      <c r="M166" s="5"/>
      <c r="N166" s="5"/>
      <c r="O166" s="5"/>
      <c r="P166" s="5"/>
      <c r="Q166" s="5"/>
    </row>
    <row r="167" ht="15.75" customHeight="1">
      <c r="A167" s="5"/>
      <c r="B167" s="112"/>
      <c r="C167" s="112"/>
      <c r="D167" s="112"/>
      <c r="E167" s="112"/>
      <c r="F167" s="5"/>
      <c r="G167" s="5"/>
      <c r="H167" s="5"/>
      <c r="I167" s="5"/>
      <c r="J167" s="5"/>
      <c r="K167" s="5"/>
      <c r="L167" s="5"/>
      <c r="M167" s="5"/>
      <c r="N167" s="5"/>
      <c r="O167" s="5"/>
      <c r="P167" s="5"/>
      <c r="Q167" s="5"/>
    </row>
    <row r="168" ht="15.75" customHeight="1">
      <c r="A168" s="5"/>
      <c r="B168" s="112"/>
      <c r="C168" s="112"/>
      <c r="D168" s="112"/>
      <c r="E168" s="112"/>
      <c r="F168" s="5"/>
      <c r="G168" s="5"/>
      <c r="H168" s="5"/>
      <c r="I168" s="5"/>
      <c r="J168" s="5"/>
      <c r="K168" s="5"/>
      <c r="L168" s="5"/>
      <c r="M168" s="5"/>
      <c r="N168" s="5"/>
      <c r="O168" s="5"/>
      <c r="P168" s="5"/>
      <c r="Q168" s="5"/>
    </row>
    <row r="169" ht="15.75" customHeight="1">
      <c r="A169" s="5"/>
      <c r="B169" s="112"/>
      <c r="C169" s="112"/>
      <c r="D169" s="112"/>
      <c r="E169" s="112"/>
      <c r="F169" s="5"/>
      <c r="G169" s="5"/>
      <c r="H169" s="5"/>
      <c r="I169" s="5"/>
      <c r="J169" s="5"/>
      <c r="K169" s="5"/>
      <c r="L169" s="5"/>
      <c r="M169" s="5"/>
      <c r="N169" s="5"/>
      <c r="O169" s="5"/>
      <c r="P169" s="5"/>
      <c r="Q169" s="5"/>
    </row>
    <row r="170" ht="15.75" customHeight="1">
      <c r="A170" s="5"/>
      <c r="B170" s="112"/>
      <c r="C170" s="112"/>
      <c r="D170" s="112"/>
      <c r="E170" s="112"/>
      <c r="F170" s="5"/>
      <c r="G170" s="5"/>
      <c r="H170" s="5"/>
      <c r="I170" s="5"/>
      <c r="J170" s="5"/>
      <c r="K170" s="5"/>
      <c r="L170" s="5"/>
      <c r="M170" s="5"/>
      <c r="N170" s="5"/>
      <c r="O170" s="5"/>
      <c r="P170" s="5"/>
      <c r="Q170" s="5"/>
    </row>
    <row r="171" ht="15.75" customHeight="1">
      <c r="A171" s="5"/>
      <c r="B171" s="112"/>
      <c r="C171" s="112"/>
      <c r="D171" s="112"/>
      <c r="E171" s="112"/>
      <c r="F171" s="5"/>
      <c r="G171" s="5"/>
      <c r="H171" s="5"/>
      <c r="I171" s="5"/>
      <c r="J171" s="5"/>
      <c r="K171" s="5"/>
      <c r="L171" s="5"/>
      <c r="M171" s="5"/>
      <c r="N171" s="5"/>
      <c r="O171" s="5"/>
      <c r="P171" s="5"/>
      <c r="Q171" s="5"/>
    </row>
    <row r="172" ht="15.75" customHeight="1">
      <c r="A172" s="5"/>
      <c r="B172" s="112"/>
      <c r="C172" s="112"/>
      <c r="D172" s="112"/>
      <c r="E172" s="112"/>
      <c r="F172" s="5"/>
      <c r="G172" s="5"/>
      <c r="H172" s="5"/>
      <c r="I172" s="5"/>
      <c r="J172" s="5"/>
      <c r="K172" s="5"/>
      <c r="L172" s="5"/>
      <c r="M172" s="5"/>
      <c r="N172" s="5"/>
      <c r="O172" s="5"/>
      <c r="P172" s="5"/>
      <c r="Q172" s="5"/>
    </row>
    <row r="173" ht="15.75" customHeight="1">
      <c r="A173" s="5"/>
      <c r="B173" s="112"/>
      <c r="C173" s="112"/>
      <c r="D173" s="112"/>
      <c r="E173" s="112"/>
      <c r="F173" s="5"/>
      <c r="G173" s="5"/>
      <c r="H173" s="5"/>
      <c r="I173" s="5"/>
      <c r="J173" s="5"/>
      <c r="K173" s="5"/>
      <c r="L173" s="5"/>
      <c r="M173" s="5"/>
      <c r="N173" s="5"/>
      <c r="O173" s="5"/>
      <c r="P173" s="5"/>
      <c r="Q173" s="5"/>
    </row>
    <row r="174" ht="15.75" customHeight="1">
      <c r="A174" s="5"/>
      <c r="B174" s="112"/>
      <c r="C174" s="112"/>
      <c r="D174" s="112"/>
      <c r="E174" s="112"/>
      <c r="F174" s="5"/>
      <c r="G174" s="5"/>
      <c r="H174" s="5"/>
      <c r="I174" s="5"/>
      <c r="J174" s="5"/>
      <c r="K174" s="5"/>
      <c r="L174" s="5"/>
      <c r="M174" s="5"/>
      <c r="N174" s="5"/>
      <c r="O174" s="5"/>
      <c r="P174" s="5"/>
      <c r="Q174" s="5"/>
    </row>
    <row r="175" ht="15.75" customHeight="1">
      <c r="A175" s="5"/>
      <c r="B175" s="112"/>
      <c r="C175" s="112"/>
      <c r="D175" s="112"/>
      <c r="E175" s="112"/>
      <c r="F175" s="5"/>
      <c r="G175" s="5"/>
      <c r="H175" s="5"/>
      <c r="I175" s="5"/>
      <c r="J175" s="5"/>
      <c r="K175" s="5"/>
      <c r="L175" s="5"/>
      <c r="M175" s="5"/>
      <c r="N175" s="5"/>
      <c r="O175" s="5"/>
      <c r="P175" s="5"/>
      <c r="Q175" s="5"/>
    </row>
    <row r="176" ht="15.75" customHeight="1">
      <c r="A176" s="5"/>
      <c r="B176" s="112"/>
      <c r="C176" s="112"/>
      <c r="D176" s="112"/>
      <c r="E176" s="112"/>
      <c r="F176" s="5"/>
      <c r="G176" s="5"/>
      <c r="H176" s="5"/>
      <c r="I176" s="5"/>
      <c r="J176" s="5"/>
      <c r="K176" s="5"/>
      <c r="L176" s="5"/>
      <c r="M176" s="5"/>
      <c r="N176" s="5"/>
      <c r="O176" s="5"/>
      <c r="P176" s="5"/>
      <c r="Q176" s="5"/>
    </row>
    <row r="177" ht="15.75" customHeight="1">
      <c r="A177" s="5"/>
      <c r="B177" s="112"/>
      <c r="C177" s="112"/>
      <c r="D177" s="112"/>
      <c r="E177" s="112"/>
      <c r="F177" s="5"/>
      <c r="G177" s="5"/>
      <c r="H177" s="5"/>
      <c r="I177" s="5"/>
      <c r="J177" s="5"/>
      <c r="K177" s="5"/>
      <c r="L177" s="5"/>
      <c r="M177" s="5"/>
      <c r="N177" s="5"/>
      <c r="O177" s="5"/>
      <c r="P177" s="5"/>
      <c r="Q177" s="5"/>
    </row>
    <row r="178" ht="15.75" customHeight="1">
      <c r="A178" s="5"/>
      <c r="B178" s="112"/>
      <c r="C178" s="112"/>
      <c r="D178" s="112"/>
      <c r="E178" s="112"/>
      <c r="F178" s="5"/>
      <c r="G178" s="5"/>
      <c r="H178" s="5"/>
      <c r="I178" s="5"/>
      <c r="J178" s="5"/>
      <c r="K178" s="5"/>
      <c r="L178" s="5"/>
      <c r="M178" s="5"/>
      <c r="N178" s="5"/>
      <c r="O178" s="5"/>
      <c r="P178" s="5"/>
      <c r="Q178" s="5"/>
    </row>
    <row r="179" ht="15.75" customHeight="1">
      <c r="A179" s="5"/>
      <c r="B179" s="112"/>
      <c r="C179" s="112"/>
      <c r="D179" s="112"/>
      <c r="E179" s="112"/>
      <c r="F179" s="5"/>
      <c r="G179" s="5"/>
      <c r="H179" s="5"/>
      <c r="I179" s="5"/>
      <c r="J179" s="5"/>
      <c r="K179" s="5"/>
      <c r="L179" s="5"/>
      <c r="M179" s="5"/>
      <c r="N179" s="5"/>
      <c r="O179" s="5"/>
      <c r="P179" s="5"/>
      <c r="Q179" s="5"/>
    </row>
    <row r="180" ht="15.75" customHeight="1">
      <c r="A180" s="5"/>
      <c r="B180" s="112"/>
      <c r="C180" s="112"/>
      <c r="D180" s="112"/>
      <c r="E180" s="112"/>
      <c r="F180" s="5"/>
      <c r="G180" s="5"/>
      <c r="H180" s="5"/>
      <c r="I180" s="5"/>
      <c r="J180" s="5"/>
      <c r="K180" s="5"/>
      <c r="L180" s="5"/>
      <c r="M180" s="5"/>
      <c r="N180" s="5"/>
      <c r="O180" s="5"/>
      <c r="P180" s="5"/>
      <c r="Q180" s="5"/>
    </row>
    <row r="181" ht="15.75" customHeight="1">
      <c r="A181" s="5"/>
      <c r="B181" s="112"/>
      <c r="C181" s="112"/>
      <c r="D181" s="112"/>
      <c r="E181" s="112"/>
      <c r="F181" s="5"/>
      <c r="G181" s="5"/>
      <c r="H181" s="5"/>
      <c r="I181" s="5"/>
      <c r="J181" s="5"/>
      <c r="K181" s="5"/>
      <c r="L181" s="5"/>
      <c r="M181" s="5"/>
      <c r="N181" s="5"/>
      <c r="O181" s="5"/>
      <c r="P181" s="5"/>
      <c r="Q181" s="5"/>
    </row>
    <row r="182" ht="15.75" customHeight="1">
      <c r="A182" s="5"/>
      <c r="B182" s="112"/>
      <c r="C182" s="112"/>
      <c r="D182" s="112"/>
      <c r="E182" s="112"/>
      <c r="F182" s="5"/>
      <c r="G182" s="5"/>
      <c r="H182" s="5"/>
      <c r="I182" s="5"/>
      <c r="J182" s="5"/>
      <c r="K182" s="5"/>
      <c r="L182" s="5"/>
      <c r="M182" s="5"/>
      <c r="N182" s="5"/>
      <c r="O182" s="5"/>
      <c r="P182" s="5"/>
      <c r="Q182" s="5"/>
    </row>
    <row r="183" ht="15.75" customHeight="1">
      <c r="A183" s="5"/>
      <c r="B183" s="112"/>
      <c r="C183" s="112"/>
      <c r="D183" s="112"/>
      <c r="E183" s="112"/>
      <c r="F183" s="5"/>
      <c r="G183" s="5"/>
      <c r="H183" s="5"/>
      <c r="I183" s="5"/>
      <c r="J183" s="5"/>
      <c r="K183" s="5"/>
      <c r="L183" s="5"/>
      <c r="M183" s="5"/>
      <c r="N183" s="5"/>
      <c r="O183" s="5"/>
      <c r="P183" s="5"/>
      <c r="Q183" s="5"/>
    </row>
    <row r="184" ht="15.75" customHeight="1">
      <c r="A184" s="5"/>
      <c r="B184" s="112"/>
      <c r="C184" s="112"/>
      <c r="D184" s="112"/>
      <c r="E184" s="112"/>
      <c r="F184" s="5"/>
      <c r="G184" s="5"/>
      <c r="H184" s="5"/>
      <c r="I184" s="5"/>
      <c r="J184" s="5"/>
      <c r="K184" s="5"/>
      <c r="L184" s="5"/>
      <c r="M184" s="5"/>
      <c r="N184" s="5"/>
      <c r="O184" s="5"/>
      <c r="P184" s="5"/>
      <c r="Q184" s="5"/>
    </row>
    <row r="185" ht="15.75" customHeight="1">
      <c r="A185" s="5"/>
      <c r="B185" s="112"/>
      <c r="C185" s="112"/>
      <c r="D185" s="112"/>
      <c r="E185" s="112"/>
      <c r="F185" s="5"/>
      <c r="G185" s="5"/>
      <c r="H185" s="5"/>
      <c r="I185" s="5"/>
      <c r="J185" s="5"/>
      <c r="K185" s="5"/>
      <c r="L185" s="5"/>
      <c r="M185" s="5"/>
      <c r="N185" s="5"/>
      <c r="O185" s="5"/>
      <c r="P185" s="5"/>
      <c r="Q185" s="5"/>
    </row>
    <row r="186" ht="15.75" customHeight="1">
      <c r="A186" s="5"/>
      <c r="B186" s="112"/>
      <c r="C186" s="112"/>
      <c r="D186" s="112"/>
      <c r="E186" s="112"/>
      <c r="F186" s="5"/>
      <c r="G186" s="5"/>
      <c r="H186" s="5"/>
      <c r="I186" s="5"/>
      <c r="J186" s="5"/>
      <c r="K186" s="5"/>
      <c r="L186" s="5"/>
      <c r="M186" s="5"/>
      <c r="N186" s="5"/>
      <c r="O186" s="5"/>
      <c r="P186" s="5"/>
      <c r="Q186" s="5"/>
    </row>
    <row r="187" ht="15.75" customHeight="1">
      <c r="A187" s="5"/>
      <c r="B187" s="112"/>
      <c r="C187" s="112"/>
      <c r="D187" s="112"/>
      <c r="E187" s="112"/>
      <c r="F187" s="5"/>
      <c r="G187" s="5"/>
      <c r="H187" s="5"/>
      <c r="I187" s="5"/>
      <c r="J187" s="5"/>
      <c r="K187" s="5"/>
      <c r="L187" s="5"/>
      <c r="M187" s="5"/>
      <c r="N187" s="5"/>
      <c r="O187" s="5"/>
      <c r="P187" s="5"/>
      <c r="Q187" s="5"/>
    </row>
    <row r="188" ht="15.75" customHeight="1">
      <c r="A188" s="5"/>
      <c r="B188" s="112"/>
      <c r="C188" s="112"/>
      <c r="D188" s="112"/>
      <c r="E188" s="112"/>
      <c r="F188" s="5"/>
      <c r="G188" s="5"/>
      <c r="H188" s="5"/>
      <c r="I188" s="5"/>
      <c r="J188" s="5"/>
      <c r="K188" s="5"/>
      <c r="L188" s="5"/>
      <c r="M188" s="5"/>
      <c r="N188" s="5"/>
      <c r="O188" s="5"/>
      <c r="P188" s="5"/>
      <c r="Q188" s="5"/>
    </row>
    <row r="189" ht="15.75" customHeight="1">
      <c r="A189" s="5"/>
      <c r="B189" s="112"/>
      <c r="C189" s="112"/>
      <c r="D189" s="112"/>
      <c r="E189" s="112"/>
      <c r="F189" s="5"/>
      <c r="G189" s="5"/>
      <c r="H189" s="5"/>
      <c r="I189" s="5"/>
      <c r="J189" s="5"/>
      <c r="K189" s="5"/>
      <c r="L189" s="5"/>
      <c r="M189" s="5"/>
      <c r="N189" s="5"/>
      <c r="O189" s="5"/>
      <c r="P189" s="5"/>
      <c r="Q189" s="5"/>
    </row>
    <row r="190" ht="15.75" customHeight="1">
      <c r="A190" s="5"/>
      <c r="B190" s="112"/>
      <c r="C190" s="112"/>
      <c r="D190" s="112"/>
      <c r="E190" s="112"/>
      <c r="F190" s="5"/>
      <c r="G190" s="5"/>
      <c r="H190" s="5"/>
      <c r="I190" s="5"/>
      <c r="J190" s="5"/>
      <c r="K190" s="5"/>
      <c r="L190" s="5"/>
      <c r="M190" s="5"/>
      <c r="N190" s="5"/>
      <c r="O190" s="5"/>
      <c r="P190" s="5"/>
      <c r="Q190" s="5"/>
    </row>
    <row r="191" ht="15.75" customHeight="1">
      <c r="A191" s="5"/>
      <c r="B191" s="112"/>
      <c r="C191" s="112"/>
      <c r="D191" s="112"/>
      <c r="E191" s="112"/>
      <c r="F191" s="5"/>
      <c r="G191" s="5"/>
      <c r="H191" s="5"/>
      <c r="I191" s="5"/>
      <c r="J191" s="5"/>
      <c r="K191" s="5"/>
      <c r="L191" s="5"/>
      <c r="M191" s="5"/>
      <c r="N191" s="5"/>
      <c r="O191" s="5"/>
      <c r="P191" s="5"/>
      <c r="Q191" s="5"/>
    </row>
    <row r="192" ht="15.75" customHeight="1">
      <c r="A192" s="5"/>
      <c r="B192" s="112"/>
      <c r="C192" s="112"/>
      <c r="D192" s="112"/>
      <c r="E192" s="112"/>
      <c r="F192" s="5"/>
      <c r="G192" s="5"/>
      <c r="H192" s="5"/>
      <c r="I192" s="5"/>
      <c r="J192" s="5"/>
      <c r="K192" s="5"/>
      <c r="L192" s="5"/>
      <c r="M192" s="5"/>
      <c r="N192" s="5"/>
      <c r="O192" s="5"/>
      <c r="P192" s="5"/>
      <c r="Q192" s="5"/>
    </row>
    <row r="193" ht="15.75" customHeight="1">
      <c r="A193" s="5"/>
      <c r="B193" s="112"/>
      <c r="C193" s="112"/>
      <c r="D193" s="112"/>
      <c r="E193" s="112"/>
      <c r="F193" s="5"/>
      <c r="G193" s="5"/>
      <c r="H193" s="5"/>
      <c r="I193" s="5"/>
      <c r="J193" s="5"/>
      <c r="K193" s="5"/>
      <c r="L193" s="5"/>
      <c r="M193" s="5"/>
      <c r="N193" s="5"/>
      <c r="O193" s="5"/>
      <c r="P193" s="5"/>
      <c r="Q193" s="5"/>
    </row>
    <row r="194" ht="15.75" customHeight="1">
      <c r="A194" s="5"/>
      <c r="B194" s="112"/>
      <c r="C194" s="112"/>
      <c r="D194" s="112"/>
      <c r="E194" s="112"/>
      <c r="F194" s="5"/>
      <c r="G194" s="5"/>
      <c r="H194" s="5"/>
      <c r="I194" s="5"/>
      <c r="J194" s="5"/>
      <c r="K194" s="5"/>
      <c r="L194" s="5"/>
      <c r="M194" s="5"/>
      <c r="N194" s="5"/>
      <c r="O194" s="5"/>
      <c r="P194" s="5"/>
      <c r="Q194" s="5"/>
    </row>
    <row r="195" ht="15.75" customHeight="1">
      <c r="A195" s="5"/>
      <c r="B195" s="112"/>
      <c r="C195" s="112"/>
      <c r="D195" s="112"/>
      <c r="E195" s="112"/>
      <c r="F195" s="5"/>
      <c r="G195" s="5"/>
      <c r="H195" s="5"/>
      <c r="I195" s="5"/>
      <c r="J195" s="5"/>
      <c r="K195" s="5"/>
      <c r="L195" s="5"/>
      <c r="M195" s="5"/>
      <c r="N195" s="5"/>
      <c r="O195" s="5"/>
      <c r="P195" s="5"/>
      <c r="Q195" s="5"/>
    </row>
    <row r="196" ht="15.75" customHeight="1">
      <c r="A196" s="5"/>
      <c r="B196" s="112"/>
      <c r="C196" s="112"/>
      <c r="D196" s="112"/>
      <c r="E196" s="112"/>
      <c r="F196" s="5"/>
      <c r="G196" s="5"/>
      <c r="H196" s="5"/>
      <c r="I196" s="5"/>
      <c r="J196" s="5"/>
      <c r="K196" s="5"/>
      <c r="L196" s="5"/>
      <c r="M196" s="5"/>
      <c r="N196" s="5"/>
      <c r="O196" s="5"/>
      <c r="P196" s="5"/>
      <c r="Q196" s="5"/>
    </row>
    <row r="197" ht="15.75" customHeight="1">
      <c r="A197" s="5"/>
      <c r="B197" s="112"/>
      <c r="C197" s="112"/>
      <c r="D197" s="112"/>
      <c r="E197" s="112"/>
      <c r="F197" s="5"/>
      <c r="G197" s="5"/>
      <c r="H197" s="5"/>
      <c r="I197" s="5"/>
      <c r="J197" s="5"/>
      <c r="K197" s="5"/>
      <c r="L197" s="5"/>
      <c r="M197" s="5"/>
      <c r="N197" s="5"/>
      <c r="O197" s="5"/>
      <c r="P197" s="5"/>
      <c r="Q197" s="5"/>
    </row>
    <row r="198" ht="15.75" customHeight="1">
      <c r="A198" s="5"/>
      <c r="B198" s="112"/>
      <c r="C198" s="112"/>
      <c r="D198" s="112"/>
      <c r="E198" s="112"/>
      <c r="F198" s="5"/>
      <c r="G198" s="5"/>
      <c r="H198" s="5"/>
      <c r="I198" s="5"/>
      <c r="J198" s="5"/>
      <c r="K198" s="5"/>
      <c r="L198" s="5"/>
      <c r="M198" s="5"/>
      <c r="N198" s="5"/>
      <c r="O198" s="5"/>
      <c r="P198" s="5"/>
      <c r="Q198" s="5"/>
    </row>
    <row r="199" ht="15.75" customHeight="1">
      <c r="A199" s="5"/>
      <c r="B199" s="112"/>
      <c r="C199" s="112"/>
      <c r="D199" s="112"/>
      <c r="E199" s="112"/>
      <c r="F199" s="5"/>
      <c r="G199" s="5"/>
      <c r="H199" s="5"/>
      <c r="I199" s="5"/>
      <c r="J199" s="5"/>
      <c r="K199" s="5"/>
      <c r="L199" s="5"/>
      <c r="M199" s="5"/>
      <c r="N199" s="5"/>
      <c r="O199" s="5"/>
      <c r="P199" s="5"/>
      <c r="Q199" s="5"/>
    </row>
    <row r="200" ht="15.75" customHeight="1">
      <c r="A200" s="5"/>
      <c r="B200" s="112"/>
      <c r="C200" s="112"/>
      <c r="D200" s="112"/>
      <c r="E200" s="112"/>
      <c r="F200" s="5"/>
      <c r="G200" s="5"/>
      <c r="H200" s="5"/>
      <c r="I200" s="5"/>
      <c r="J200" s="5"/>
      <c r="K200" s="5"/>
      <c r="L200" s="5"/>
      <c r="M200" s="5"/>
      <c r="N200" s="5"/>
      <c r="O200" s="5"/>
      <c r="P200" s="5"/>
      <c r="Q200" s="5"/>
    </row>
    <row r="201" ht="15.75" customHeight="1">
      <c r="A201" s="5"/>
      <c r="B201" s="112"/>
      <c r="C201" s="112"/>
      <c r="D201" s="112"/>
      <c r="E201" s="112"/>
      <c r="F201" s="5"/>
      <c r="G201" s="5"/>
      <c r="H201" s="5"/>
      <c r="I201" s="5"/>
      <c r="J201" s="5"/>
      <c r="K201" s="5"/>
      <c r="L201" s="5"/>
      <c r="M201" s="5"/>
      <c r="N201" s="5"/>
      <c r="O201" s="5"/>
      <c r="P201" s="5"/>
      <c r="Q201" s="5"/>
    </row>
    <row r="202" ht="15.75" customHeight="1">
      <c r="A202" s="5"/>
      <c r="B202" s="112"/>
      <c r="C202" s="112"/>
      <c r="D202" s="112"/>
      <c r="E202" s="112"/>
      <c r="F202" s="5"/>
      <c r="G202" s="5"/>
      <c r="H202" s="5"/>
      <c r="I202" s="5"/>
      <c r="J202" s="5"/>
      <c r="K202" s="5"/>
      <c r="L202" s="5"/>
      <c r="M202" s="5"/>
      <c r="N202" s="5"/>
      <c r="O202" s="5"/>
      <c r="P202" s="5"/>
      <c r="Q202" s="5"/>
    </row>
    <row r="203" ht="15.75" customHeight="1">
      <c r="A203" s="5"/>
      <c r="B203" s="112"/>
      <c r="C203" s="112"/>
      <c r="D203" s="112"/>
      <c r="E203" s="112"/>
      <c r="F203" s="5"/>
      <c r="G203" s="5"/>
      <c r="H203" s="5"/>
      <c r="I203" s="5"/>
      <c r="J203" s="5"/>
      <c r="K203" s="5"/>
      <c r="L203" s="5"/>
      <c r="M203" s="5"/>
      <c r="N203" s="5"/>
      <c r="O203" s="5"/>
      <c r="P203" s="5"/>
      <c r="Q203" s="5"/>
    </row>
    <row r="204" ht="15.75" customHeight="1">
      <c r="A204" s="5"/>
      <c r="B204" s="112"/>
      <c r="C204" s="112"/>
      <c r="D204" s="112"/>
      <c r="E204" s="112"/>
      <c r="F204" s="5"/>
      <c r="G204" s="5"/>
      <c r="H204" s="5"/>
      <c r="I204" s="5"/>
      <c r="J204" s="5"/>
      <c r="K204" s="5"/>
      <c r="L204" s="5"/>
      <c r="M204" s="5"/>
      <c r="N204" s="5"/>
      <c r="O204" s="5"/>
      <c r="P204" s="5"/>
      <c r="Q204" s="5"/>
    </row>
    <row r="205" ht="15.75" customHeight="1">
      <c r="A205" s="5"/>
      <c r="B205" s="112"/>
      <c r="C205" s="112"/>
      <c r="D205" s="112"/>
      <c r="E205" s="112"/>
      <c r="F205" s="5"/>
      <c r="G205" s="5"/>
      <c r="H205" s="5"/>
      <c r="I205" s="5"/>
      <c r="J205" s="5"/>
      <c r="K205" s="5"/>
      <c r="L205" s="5"/>
      <c r="M205" s="5"/>
      <c r="N205" s="5"/>
      <c r="O205" s="5"/>
      <c r="P205" s="5"/>
      <c r="Q205" s="5"/>
    </row>
    <row r="206" ht="15.75" customHeight="1">
      <c r="A206" s="5"/>
      <c r="B206" s="112"/>
      <c r="C206" s="112"/>
      <c r="D206" s="112"/>
      <c r="E206" s="112"/>
      <c r="F206" s="5"/>
      <c r="G206" s="5"/>
      <c r="H206" s="5"/>
      <c r="I206" s="5"/>
      <c r="J206" s="5"/>
      <c r="K206" s="5"/>
      <c r="L206" s="5"/>
      <c r="M206" s="5"/>
      <c r="N206" s="5"/>
      <c r="O206" s="5"/>
      <c r="P206" s="5"/>
      <c r="Q206" s="5"/>
    </row>
    <row r="207" ht="15.75" customHeight="1">
      <c r="A207" s="5"/>
      <c r="B207" s="112"/>
      <c r="C207" s="112"/>
      <c r="D207" s="112"/>
      <c r="E207" s="112"/>
      <c r="F207" s="5"/>
      <c r="G207" s="5"/>
      <c r="H207" s="5"/>
      <c r="I207" s="5"/>
      <c r="J207" s="5"/>
      <c r="K207" s="5"/>
      <c r="L207" s="5"/>
      <c r="M207" s="5"/>
      <c r="N207" s="5"/>
      <c r="O207" s="5"/>
      <c r="P207" s="5"/>
      <c r="Q207" s="5"/>
    </row>
    <row r="208" ht="15.75" customHeight="1">
      <c r="A208" s="5"/>
      <c r="B208" s="112"/>
      <c r="C208" s="112"/>
      <c r="D208" s="112"/>
      <c r="E208" s="112"/>
      <c r="F208" s="5"/>
      <c r="G208" s="5"/>
      <c r="H208" s="5"/>
      <c r="I208" s="5"/>
      <c r="J208" s="5"/>
      <c r="K208" s="5"/>
      <c r="L208" s="5"/>
      <c r="M208" s="5"/>
      <c r="N208" s="5"/>
      <c r="O208" s="5"/>
      <c r="P208" s="5"/>
      <c r="Q208" s="5"/>
    </row>
    <row r="209" ht="15.75" customHeight="1">
      <c r="A209" s="5"/>
      <c r="B209" s="112"/>
      <c r="C209" s="112"/>
      <c r="D209" s="112"/>
      <c r="E209" s="112"/>
      <c r="F209" s="5"/>
      <c r="G209" s="5"/>
      <c r="H209" s="5"/>
      <c r="I209" s="5"/>
      <c r="J209" s="5"/>
      <c r="K209" s="5"/>
      <c r="L209" s="5"/>
      <c r="M209" s="5"/>
      <c r="N209" s="5"/>
      <c r="O209" s="5"/>
      <c r="P209" s="5"/>
      <c r="Q209" s="5"/>
    </row>
    <row r="210" ht="15.75" customHeight="1">
      <c r="A210" s="5"/>
      <c r="B210" s="112"/>
      <c r="C210" s="112"/>
      <c r="D210" s="112"/>
      <c r="E210" s="112"/>
      <c r="F210" s="5"/>
      <c r="G210" s="5"/>
      <c r="H210" s="5"/>
      <c r="I210" s="5"/>
      <c r="J210" s="5"/>
      <c r="K210" s="5"/>
      <c r="L210" s="5"/>
      <c r="M210" s="5"/>
      <c r="N210" s="5"/>
      <c r="O210" s="5"/>
      <c r="P210" s="5"/>
      <c r="Q210" s="5"/>
    </row>
    <row r="211" ht="15.75" customHeight="1">
      <c r="A211" s="5"/>
      <c r="B211" s="112"/>
      <c r="C211" s="112"/>
      <c r="D211" s="112"/>
      <c r="E211" s="112"/>
      <c r="F211" s="5"/>
      <c r="G211" s="5"/>
      <c r="H211" s="5"/>
      <c r="I211" s="5"/>
      <c r="J211" s="5"/>
      <c r="K211" s="5"/>
      <c r="L211" s="5"/>
      <c r="M211" s="5"/>
      <c r="N211" s="5"/>
      <c r="O211" s="5"/>
      <c r="P211" s="5"/>
      <c r="Q211" s="5"/>
    </row>
    <row r="212" ht="15.75" customHeight="1">
      <c r="A212" s="5"/>
      <c r="B212" s="112"/>
      <c r="C212" s="112"/>
      <c r="D212" s="112"/>
      <c r="E212" s="112"/>
      <c r="F212" s="5"/>
      <c r="G212" s="5"/>
      <c r="H212" s="5"/>
      <c r="I212" s="5"/>
      <c r="J212" s="5"/>
      <c r="K212" s="5"/>
      <c r="L212" s="5"/>
      <c r="M212" s="5"/>
      <c r="N212" s="5"/>
      <c r="O212" s="5"/>
      <c r="P212" s="5"/>
      <c r="Q212" s="5"/>
    </row>
    <row r="213" ht="15.75" customHeight="1">
      <c r="A213" s="5"/>
      <c r="B213" s="112"/>
      <c r="C213" s="112"/>
      <c r="D213" s="112"/>
      <c r="E213" s="112"/>
      <c r="F213" s="5"/>
      <c r="G213" s="5"/>
      <c r="H213" s="5"/>
      <c r="I213" s="5"/>
      <c r="J213" s="5"/>
      <c r="K213" s="5"/>
      <c r="L213" s="5"/>
      <c r="M213" s="5"/>
      <c r="N213" s="5"/>
      <c r="O213" s="5"/>
      <c r="P213" s="5"/>
      <c r="Q213" s="5"/>
    </row>
    <row r="214" ht="15.75" customHeight="1">
      <c r="A214" s="5"/>
      <c r="B214" s="112"/>
      <c r="C214" s="112"/>
      <c r="D214" s="112"/>
      <c r="E214" s="112"/>
      <c r="F214" s="5"/>
      <c r="G214" s="5"/>
      <c r="H214" s="5"/>
      <c r="I214" s="5"/>
      <c r="J214" s="5"/>
      <c r="K214" s="5"/>
      <c r="L214" s="5"/>
      <c r="M214" s="5"/>
      <c r="N214" s="5"/>
      <c r="O214" s="5"/>
      <c r="P214" s="5"/>
      <c r="Q214" s="5"/>
    </row>
    <row r="215" ht="15.75" customHeight="1">
      <c r="A215" s="5"/>
      <c r="B215" s="112"/>
      <c r="C215" s="112"/>
      <c r="D215" s="112"/>
      <c r="E215" s="112"/>
      <c r="F215" s="5"/>
      <c r="G215" s="5"/>
      <c r="H215" s="5"/>
      <c r="I215" s="5"/>
      <c r="J215" s="5"/>
      <c r="K215" s="5"/>
      <c r="L215" s="5"/>
      <c r="M215" s="5"/>
      <c r="N215" s="5"/>
      <c r="O215" s="5"/>
      <c r="P215" s="5"/>
      <c r="Q215" s="5"/>
    </row>
    <row r="216" ht="15.75" customHeight="1">
      <c r="A216" s="5"/>
      <c r="B216" s="112"/>
      <c r="C216" s="112"/>
      <c r="D216" s="112"/>
      <c r="E216" s="112"/>
      <c r="F216" s="5"/>
      <c r="G216" s="5"/>
      <c r="H216" s="5"/>
      <c r="I216" s="5"/>
      <c r="J216" s="5"/>
      <c r="K216" s="5"/>
      <c r="L216" s="5"/>
      <c r="M216" s="5"/>
      <c r="N216" s="5"/>
      <c r="O216" s="5"/>
      <c r="P216" s="5"/>
      <c r="Q216" s="5"/>
    </row>
    <row r="217" ht="15.75" customHeight="1">
      <c r="A217" s="5"/>
      <c r="B217" s="112"/>
      <c r="C217" s="112"/>
      <c r="D217" s="112"/>
      <c r="E217" s="112"/>
      <c r="F217" s="5"/>
      <c r="G217" s="5"/>
      <c r="H217" s="5"/>
      <c r="I217" s="5"/>
      <c r="J217" s="5"/>
      <c r="K217" s="5"/>
      <c r="L217" s="5"/>
      <c r="M217" s="5"/>
      <c r="N217" s="5"/>
      <c r="O217" s="5"/>
      <c r="P217" s="5"/>
      <c r="Q217" s="5"/>
    </row>
    <row r="218" ht="15.75" customHeight="1">
      <c r="A218" s="5"/>
      <c r="B218" s="112"/>
      <c r="C218" s="112"/>
      <c r="D218" s="112"/>
      <c r="E218" s="112"/>
      <c r="F218" s="5"/>
      <c r="G218" s="5"/>
      <c r="H218" s="5"/>
      <c r="I218" s="5"/>
      <c r="J218" s="5"/>
      <c r="K218" s="5"/>
      <c r="L218" s="5"/>
      <c r="M218" s="5"/>
      <c r="N218" s="5"/>
      <c r="O218" s="5"/>
      <c r="P218" s="5"/>
      <c r="Q218" s="5"/>
    </row>
    <row r="219" ht="15.75" customHeight="1">
      <c r="A219" s="5"/>
      <c r="B219" s="112"/>
      <c r="C219" s="112"/>
      <c r="D219" s="112"/>
      <c r="E219" s="112"/>
      <c r="F219" s="5"/>
      <c r="G219" s="5"/>
      <c r="H219" s="5"/>
      <c r="I219" s="5"/>
      <c r="J219" s="5"/>
      <c r="K219" s="5"/>
      <c r="L219" s="5"/>
      <c r="M219" s="5"/>
      <c r="N219" s="5"/>
      <c r="O219" s="5"/>
      <c r="P219" s="5"/>
      <c r="Q219" s="5"/>
    </row>
    <row r="220" ht="15.75" customHeight="1">
      <c r="A220" s="5"/>
      <c r="B220" s="112"/>
      <c r="C220" s="112"/>
      <c r="D220" s="112"/>
      <c r="E220" s="112"/>
      <c r="F220" s="5"/>
      <c r="G220" s="5"/>
      <c r="H220" s="5"/>
      <c r="I220" s="5"/>
      <c r="J220" s="5"/>
      <c r="K220" s="5"/>
      <c r="L220" s="5"/>
      <c r="M220" s="5"/>
      <c r="N220" s="5"/>
      <c r="O220" s="5"/>
      <c r="P220" s="5"/>
      <c r="Q220" s="5"/>
    </row>
    <row r="221" ht="15.75" customHeight="1">
      <c r="A221" s="5"/>
      <c r="B221" s="112"/>
      <c r="C221" s="112"/>
      <c r="D221" s="112"/>
      <c r="E221" s="112"/>
      <c r="F221" s="5"/>
      <c r="G221" s="5"/>
      <c r="H221" s="5"/>
      <c r="I221" s="5"/>
      <c r="J221" s="5"/>
      <c r="K221" s="5"/>
      <c r="L221" s="5"/>
      <c r="M221" s="5"/>
      <c r="N221" s="5"/>
      <c r="O221" s="5"/>
      <c r="P221" s="5"/>
      <c r="Q221" s="5"/>
    </row>
    <row r="222" ht="15.75" customHeight="1">
      <c r="A222" s="5"/>
      <c r="B222" s="112"/>
      <c r="C222" s="112"/>
      <c r="D222" s="112"/>
      <c r="E222" s="112"/>
      <c r="F222" s="5"/>
      <c r="G222" s="5"/>
      <c r="H222" s="5"/>
      <c r="I222" s="5"/>
      <c r="J222" s="5"/>
      <c r="K222" s="5"/>
      <c r="L222" s="5"/>
      <c r="M222" s="5"/>
      <c r="N222" s="5"/>
      <c r="O222" s="5"/>
      <c r="P222" s="5"/>
      <c r="Q222" s="5"/>
    </row>
    <row r="223" ht="15.75" customHeight="1">
      <c r="A223" s="5"/>
      <c r="B223" s="112"/>
      <c r="C223" s="112"/>
      <c r="D223" s="112"/>
      <c r="E223" s="112"/>
      <c r="F223" s="5"/>
      <c r="G223" s="5"/>
      <c r="H223" s="5"/>
      <c r="I223" s="5"/>
      <c r="J223" s="5"/>
      <c r="K223" s="5"/>
      <c r="L223" s="5"/>
      <c r="M223" s="5"/>
      <c r="N223" s="5"/>
      <c r="O223" s="5"/>
      <c r="P223" s="5"/>
      <c r="Q223" s="5"/>
    </row>
    <row r="224" ht="15.75" customHeight="1">
      <c r="A224" s="5"/>
      <c r="B224" s="112"/>
      <c r="C224" s="112"/>
      <c r="D224" s="112"/>
      <c r="E224" s="112"/>
      <c r="F224" s="5"/>
      <c r="G224" s="5"/>
      <c r="H224" s="5"/>
      <c r="I224" s="5"/>
      <c r="J224" s="5"/>
      <c r="K224" s="5"/>
      <c r="L224" s="5"/>
      <c r="M224" s="5"/>
      <c r="N224" s="5"/>
      <c r="O224" s="5"/>
      <c r="P224" s="5"/>
      <c r="Q224" s="5"/>
    </row>
    <row r="225" ht="15.75" customHeight="1">
      <c r="A225" s="5"/>
      <c r="B225" s="112"/>
      <c r="C225" s="112"/>
      <c r="D225" s="112"/>
      <c r="E225" s="112"/>
      <c r="F225" s="5"/>
      <c r="G225" s="5"/>
      <c r="H225" s="5"/>
      <c r="I225" s="5"/>
      <c r="J225" s="5"/>
      <c r="K225" s="5"/>
      <c r="L225" s="5"/>
      <c r="M225" s="5"/>
      <c r="N225" s="5"/>
      <c r="O225" s="5"/>
      <c r="P225" s="5"/>
      <c r="Q225" s="5"/>
    </row>
    <row r="226" ht="15.75" customHeight="1">
      <c r="A226" s="5"/>
      <c r="B226" s="112"/>
      <c r="C226" s="112"/>
      <c r="D226" s="112"/>
      <c r="E226" s="112"/>
      <c r="F226" s="5"/>
      <c r="G226" s="5"/>
      <c r="H226" s="5"/>
      <c r="I226" s="5"/>
      <c r="J226" s="5"/>
      <c r="K226" s="5"/>
      <c r="L226" s="5"/>
      <c r="M226" s="5"/>
      <c r="N226" s="5"/>
      <c r="O226" s="5"/>
      <c r="P226" s="5"/>
      <c r="Q226" s="5"/>
    </row>
    <row r="227" ht="15.75" customHeight="1">
      <c r="A227" s="5"/>
      <c r="B227" s="112"/>
      <c r="C227" s="112"/>
      <c r="D227" s="112"/>
      <c r="E227" s="112"/>
      <c r="F227" s="5"/>
      <c r="G227" s="5"/>
      <c r="H227" s="5"/>
      <c r="I227" s="5"/>
      <c r="J227" s="5"/>
      <c r="K227" s="5"/>
      <c r="L227" s="5"/>
      <c r="M227" s="5"/>
      <c r="N227" s="5"/>
      <c r="O227" s="5"/>
      <c r="P227" s="5"/>
      <c r="Q227" s="5"/>
    </row>
    <row r="228" ht="15.75" customHeight="1">
      <c r="A228" s="5"/>
      <c r="B228" s="112"/>
      <c r="C228" s="112"/>
      <c r="D228" s="112"/>
      <c r="E228" s="112"/>
      <c r="F228" s="5"/>
      <c r="G228" s="5"/>
      <c r="H228" s="5"/>
      <c r="I228" s="5"/>
      <c r="J228" s="5"/>
      <c r="K228" s="5"/>
      <c r="L228" s="5"/>
      <c r="M228" s="5"/>
      <c r="N228" s="5"/>
      <c r="O228" s="5"/>
      <c r="P228" s="5"/>
      <c r="Q228" s="5"/>
    </row>
    <row r="229" ht="15.75" customHeight="1">
      <c r="A229" s="5"/>
      <c r="B229" s="112"/>
      <c r="C229" s="112"/>
      <c r="D229" s="112"/>
      <c r="E229" s="112"/>
      <c r="F229" s="5"/>
      <c r="G229" s="5"/>
      <c r="H229" s="5"/>
      <c r="I229" s="5"/>
      <c r="J229" s="5"/>
      <c r="K229" s="5"/>
      <c r="L229" s="5"/>
      <c r="M229" s="5"/>
      <c r="N229" s="5"/>
      <c r="O229" s="5"/>
      <c r="P229" s="5"/>
      <c r="Q229" s="5"/>
    </row>
    <row r="230" ht="15.75" customHeight="1">
      <c r="A230" s="5"/>
      <c r="B230" s="112"/>
      <c r="C230" s="112"/>
      <c r="D230" s="112"/>
      <c r="E230" s="112"/>
      <c r="F230" s="5"/>
      <c r="G230" s="5"/>
      <c r="H230" s="5"/>
      <c r="I230" s="5"/>
      <c r="J230" s="5"/>
      <c r="K230" s="5"/>
      <c r="L230" s="5"/>
      <c r="M230" s="5"/>
      <c r="N230" s="5"/>
      <c r="O230" s="5"/>
      <c r="P230" s="5"/>
      <c r="Q230" s="5"/>
    </row>
    <row r="231" ht="15.75" customHeight="1">
      <c r="A231" s="5"/>
      <c r="B231" s="112"/>
      <c r="C231" s="112"/>
      <c r="D231" s="112"/>
      <c r="E231" s="112"/>
      <c r="F231" s="5"/>
      <c r="G231" s="5"/>
      <c r="H231" s="5"/>
      <c r="I231" s="5"/>
      <c r="J231" s="5"/>
      <c r="K231" s="5"/>
      <c r="L231" s="5"/>
      <c r="M231" s="5"/>
      <c r="N231" s="5"/>
      <c r="O231" s="5"/>
      <c r="P231" s="5"/>
      <c r="Q231" s="5"/>
    </row>
    <row r="232" ht="15.75" customHeight="1">
      <c r="A232" s="5"/>
      <c r="B232" s="112"/>
      <c r="C232" s="112"/>
      <c r="D232" s="112"/>
      <c r="E232" s="112"/>
      <c r="F232" s="5"/>
      <c r="G232" s="5"/>
      <c r="H232" s="5"/>
      <c r="I232" s="5"/>
      <c r="J232" s="5"/>
      <c r="K232" s="5"/>
      <c r="L232" s="5"/>
      <c r="M232" s="5"/>
      <c r="N232" s="5"/>
      <c r="O232" s="5"/>
      <c r="P232" s="5"/>
      <c r="Q232" s="5"/>
    </row>
    <row r="233" ht="15.75" customHeight="1">
      <c r="A233" s="5"/>
      <c r="B233" s="112"/>
      <c r="C233" s="112"/>
      <c r="D233" s="112"/>
      <c r="E233" s="112"/>
      <c r="F233" s="5"/>
      <c r="G233" s="5"/>
      <c r="H233" s="5"/>
      <c r="I233" s="5"/>
      <c r="J233" s="5"/>
      <c r="K233" s="5"/>
      <c r="L233" s="5"/>
      <c r="M233" s="5"/>
      <c r="N233" s="5"/>
      <c r="O233" s="5"/>
      <c r="P233" s="5"/>
      <c r="Q233" s="5"/>
    </row>
    <row r="234" ht="15.75" customHeight="1">
      <c r="A234" s="5"/>
      <c r="B234" s="112"/>
      <c r="C234" s="112"/>
      <c r="D234" s="112"/>
      <c r="E234" s="112"/>
      <c r="F234" s="5"/>
      <c r="G234" s="5"/>
      <c r="H234" s="5"/>
      <c r="I234" s="5"/>
      <c r="J234" s="5"/>
      <c r="K234" s="5"/>
      <c r="L234" s="5"/>
      <c r="M234" s="5"/>
      <c r="N234" s="5"/>
      <c r="O234" s="5"/>
      <c r="P234" s="5"/>
      <c r="Q234" s="5"/>
    </row>
    <row r="235" ht="15.75" customHeight="1">
      <c r="A235" s="5"/>
      <c r="B235" s="112"/>
      <c r="C235" s="112"/>
      <c r="D235" s="112"/>
      <c r="E235" s="112"/>
      <c r="F235" s="5"/>
      <c r="G235" s="5"/>
      <c r="H235" s="5"/>
      <c r="I235" s="5"/>
      <c r="J235" s="5"/>
      <c r="K235" s="5"/>
      <c r="L235" s="5"/>
      <c r="M235" s="5"/>
      <c r="N235" s="5"/>
      <c r="O235" s="5"/>
      <c r="P235" s="5"/>
      <c r="Q235" s="5"/>
    </row>
    <row r="236" ht="15.75" customHeight="1">
      <c r="A236" s="5"/>
      <c r="B236" s="112"/>
      <c r="C236" s="112"/>
      <c r="D236" s="112"/>
      <c r="E236" s="112"/>
      <c r="F236" s="5"/>
      <c r="G236" s="5"/>
      <c r="H236" s="5"/>
      <c r="I236" s="5"/>
      <c r="J236" s="5"/>
      <c r="K236" s="5"/>
      <c r="L236" s="5"/>
      <c r="M236" s="5"/>
      <c r="N236" s="5"/>
      <c r="O236" s="5"/>
      <c r="P236" s="5"/>
      <c r="Q236" s="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1:E1"/>
    <mergeCell ref="B2:E2"/>
    <mergeCell ref="B3:E3"/>
    <mergeCell ref="A6:B6"/>
    <mergeCell ref="A7:B7"/>
    <mergeCell ref="F8:G8"/>
    <mergeCell ref="A11:E11"/>
    <mergeCell ref="A34:E34"/>
    <mergeCell ref="A35:E35"/>
    <mergeCell ref="A36:E36"/>
    <mergeCell ref="A17:E17"/>
    <mergeCell ref="A21:E21"/>
    <mergeCell ref="A24:E24"/>
    <mergeCell ref="A27:B27"/>
    <mergeCell ref="A31:E31"/>
    <mergeCell ref="A32:E32"/>
    <mergeCell ref="A33:E33"/>
  </mergeCells>
  <conditionalFormatting sqref="F17 F21 F24 G9:G10 G12:G16 G18:G20 G22:G23 G25:G26">
    <cfRule type="containsText" dxfId="3" priority="1" operator="containsText" text="C-">
      <formula>NOT(ISERROR(SEARCH(("C-"),(F17))))</formula>
    </cfRule>
  </conditionalFormatting>
  <conditionalFormatting sqref="F17 F21 F24 G9:G10 G12:G16 G18:G20 G22:G23 G25:G26">
    <cfRule type="containsText" dxfId="4" priority="2" operator="containsText" text="C+">
      <formula>NOT(ISERROR(SEARCH(("C+"),(F17))))</formula>
    </cfRule>
  </conditionalFormatting>
  <conditionalFormatting sqref="F17 F21 F24 G9:G10 G12:G16 G18:G20 G22:G23 G25:G26">
    <cfRule type="containsText" dxfId="5" priority="3" operator="containsText" text="B">
      <formula>NOT(ISERROR(SEARCH(("B"),(F17))))</formula>
    </cfRule>
  </conditionalFormatting>
  <conditionalFormatting sqref="F17 F21 F24 G9:G10 G12:G16 G18:G20 G22:G23 G25:G26">
    <cfRule type="containsText" dxfId="2" priority="4" operator="containsText" text="D">
      <formula>NOT(ISERROR(SEARCH(("D"),(F17))))</formula>
    </cfRule>
  </conditionalFormatting>
  <conditionalFormatting sqref="F17 F21 F24 G9:G10 G12:G16 G18:G20 G22:G23 G25:G26">
    <cfRule type="containsText" dxfId="8" priority="5" operator="containsText" text="C-">
      <formula>NOT(ISERROR(SEARCH(("C-"),(F17))))</formula>
    </cfRule>
  </conditionalFormatting>
  <conditionalFormatting sqref="F17 F21 F24 G9:G10 G12:G16 G18:G20 G22:G23 G25:G26">
    <cfRule type="containsText" dxfId="9" priority="6" operator="containsText" text="C+">
      <formula>NOT(ISERROR(SEARCH(("C+"),(F17))))</formula>
    </cfRule>
  </conditionalFormatting>
  <conditionalFormatting sqref="F17 F21 F24 G9:G10 G12:G16 G18:G20 G22:G23 G25:G26">
    <cfRule type="containsText" dxfId="10" priority="7" operator="containsText" text="B">
      <formula>NOT(ISERROR(SEARCH(("B"),(F17))))</formula>
    </cfRule>
  </conditionalFormatting>
  <conditionalFormatting sqref="F17 F21 F24 G9:G10 G12:G16 G18:G20 G22:G23 G25:G26">
    <cfRule type="containsText" dxfId="6" priority="8" operator="containsText" text="A">
      <formula>NOT(ISERROR(SEARCH(("A"),(F17))))</formula>
    </cfRule>
  </conditionalFormatting>
  <conditionalFormatting sqref="B48:E48 C9:F10 C12:F16 C18:F20 C22:F23 C25:F28">
    <cfRule type="colorScale" priority="9">
      <colorScale>
        <cfvo type="formula" val="0"/>
        <cfvo type="formula" val="5"/>
        <cfvo type="formula" val="10"/>
        <color rgb="FFF8696B"/>
        <color rgb="FFFFEB84"/>
        <color rgb="FF63BE7B"/>
      </colorScale>
    </cfRule>
  </conditionalFormatting>
  <printOptions horizontalCentered="1"/>
  <pageMargins bottom="0.157638888888889" footer="0.0" header="0.0" left="0.379861111111111" right="0.179861111111111" top="0.1965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5" width="9.71"/>
    <col customWidth="1" min="6" max="6" width="10.14"/>
    <col customWidth="1" min="7" max="11" width="9.71"/>
    <col customWidth="1" min="12" max="15" width="8.71"/>
  </cols>
  <sheetData>
    <row r="1" ht="24.75" customHeight="1">
      <c r="A1" s="1"/>
      <c r="B1" s="2"/>
      <c r="C1" s="2"/>
      <c r="D1" s="3" t="str">
        <f>RubricTutor!D1</f>
        <v>Bachelor's degree in Techniques for Software Application Development</v>
      </c>
      <c r="E1" s="4"/>
      <c r="F1" s="4"/>
      <c r="G1" s="4"/>
      <c r="H1" s="4"/>
      <c r="I1" s="4"/>
      <c r="J1" s="4"/>
      <c r="K1" s="4"/>
      <c r="L1" s="5"/>
      <c r="M1" s="5"/>
      <c r="N1" s="5"/>
      <c r="O1" s="5"/>
    </row>
    <row r="2" ht="24.75" customHeight="1">
      <c r="A2" s="6"/>
      <c r="D2" s="3" t="str">
        <f>CONCATENATE(Language!C74, RubricTutor!D7)</f>
        <v>Informe de evaluación final del Trabajo Final - Semestre 2025-1</v>
      </c>
      <c r="E2" s="4"/>
      <c r="F2" s="4"/>
      <c r="G2" s="4"/>
      <c r="H2" s="4"/>
      <c r="I2" s="4"/>
      <c r="J2" s="4"/>
      <c r="K2" s="4"/>
      <c r="L2" s="5"/>
      <c r="M2" s="5"/>
      <c r="N2" s="5"/>
      <c r="O2" s="5"/>
    </row>
    <row r="3" ht="24.75" customHeight="1">
      <c r="A3" s="7"/>
      <c r="B3" s="7"/>
      <c r="C3" s="7"/>
      <c r="D3" s="8"/>
      <c r="E3" s="8"/>
      <c r="F3" s="8"/>
      <c r="G3" s="8"/>
      <c r="H3" s="8"/>
      <c r="I3" s="8"/>
      <c r="J3" s="8"/>
      <c r="K3" s="8"/>
      <c r="L3" s="5"/>
      <c r="M3" s="5"/>
      <c r="N3" s="5"/>
      <c r="O3" s="5"/>
    </row>
    <row r="4" ht="26.25" customHeight="1">
      <c r="A4" s="9" t="str">
        <f>Language!C5</f>
        <v>Nombre del/de la estudiante:</v>
      </c>
      <c r="B4" s="10"/>
      <c r="C4" s="10"/>
      <c r="D4" s="115" t="str">
        <f>RubricTutor!D4</f>
        <v/>
      </c>
      <c r="E4" s="10"/>
      <c r="F4" s="10"/>
      <c r="G4" s="10"/>
      <c r="H4" s="10"/>
      <c r="I4" s="10"/>
      <c r="J4" s="10"/>
      <c r="K4" s="12"/>
      <c r="L4" s="13"/>
      <c r="M4" s="13"/>
      <c r="N4" s="14"/>
      <c r="O4" s="14"/>
    </row>
    <row r="5" ht="26.25" customHeight="1">
      <c r="A5" s="15" t="str">
        <f>Language!C6</f>
        <v>Título del trabajo:</v>
      </c>
      <c r="D5" s="16" t="str">
        <f>RubricTutor!D5</f>
        <v/>
      </c>
      <c r="K5" s="17"/>
      <c r="L5" s="13"/>
      <c r="M5" s="13"/>
      <c r="N5" s="14"/>
      <c r="O5" s="14"/>
    </row>
    <row r="6" ht="26.25" customHeight="1">
      <c r="A6" s="15" t="str">
        <f>Language!C7</f>
        <v>Programa:		</v>
      </c>
      <c r="D6" s="16" t="str">
        <f>RubricTutor!D6</f>
        <v>Bachelor's degree in Techniques for Software Application Development</v>
      </c>
      <c r="K6" s="17"/>
      <c r="L6" s="13"/>
      <c r="M6" s="13"/>
      <c r="N6" s="14"/>
      <c r="O6" s="14"/>
    </row>
    <row r="7" ht="26.25" customHeight="1">
      <c r="A7" s="20" t="str">
        <f>Language!C9</f>
        <v>Tutor/a:</v>
      </c>
      <c r="B7" s="21"/>
      <c r="C7" s="21"/>
      <c r="D7" s="116" t="str">
        <f>RubricTutor!D8</f>
        <v/>
      </c>
      <c r="E7" s="21"/>
      <c r="F7" s="21"/>
      <c r="G7" s="21"/>
      <c r="H7" s="21"/>
      <c r="I7" s="21"/>
      <c r="J7" s="21"/>
      <c r="K7" s="23"/>
      <c r="L7" s="13"/>
      <c r="M7" s="13"/>
      <c r="N7" s="14"/>
      <c r="O7" s="14"/>
    </row>
    <row r="8" ht="19.5" customHeight="1">
      <c r="D8" s="24"/>
      <c r="E8" s="24"/>
      <c r="F8" s="5"/>
      <c r="N8" s="5"/>
      <c r="O8" s="5"/>
    </row>
    <row r="9" ht="33.0" customHeight="1">
      <c r="A9" s="195"/>
      <c r="D9" s="196" t="str">
        <f>Language!C25</f>
        <v>Peso</v>
      </c>
      <c r="E9" s="196" t="str">
        <f>Language!C72</f>
        <v>Nota numérica</v>
      </c>
      <c r="F9" s="196" t="str">
        <f>Language!C73</f>
        <v>Nota categórica</v>
      </c>
      <c r="G9" s="5"/>
      <c r="H9" s="197" t="str">
        <f>Language!C71</f>
        <v>Tribunal de evaluación</v>
      </c>
      <c r="L9" s="5"/>
      <c r="M9" s="5"/>
      <c r="N9" s="5"/>
      <c r="O9" s="5"/>
    </row>
    <row r="10" ht="21.0" customHeight="1">
      <c r="A10" s="198" t="str">
        <f>Language!C14</f>
        <v>Evaluación del tutor/a</v>
      </c>
      <c r="B10" s="10"/>
      <c r="C10" s="10"/>
      <c r="D10" s="199">
        <v>0.4</v>
      </c>
      <c r="E10" s="200">
        <f>K37</f>
        <v>0</v>
      </c>
      <c r="F10" s="201" t="str">
        <f t="shared" ref="F10:F12" si="1">IF(E10&gt;=9,"A",IF(E10&gt;=7,"B",IF(E10&gt;=5,"C+",IF(E10&gt;=3,"C-","D"))))</f>
        <v>D</v>
      </c>
      <c r="G10" s="5"/>
      <c r="H10" s="202" t="str">
        <f>RubricTutor!D9</f>
        <v/>
      </c>
      <c r="I10" s="10"/>
      <c r="J10" s="10"/>
      <c r="K10" s="12"/>
      <c r="L10" s="16"/>
      <c r="M10" s="16"/>
      <c r="N10" s="16"/>
      <c r="O10" s="16"/>
    </row>
    <row r="11" ht="21.0" customHeight="1">
      <c r="A11" s="203" t="str">
        <f>Language!C15</f>
        <v>Evaluación del tribunal</v>
      </c>
      <c r="D11" s="204">
        <v>0.6</v>
      </c>
      <c r="E11" s="205">
        <f>K61</f>
        <v>0</v>
      </c>
      <c r="F11" s="206" t="str">
        <f t="shared" si="1"/>
        <v>D</v>
      </c>
      <c r="G11" s="5"/>
      <c r="H11" s="207" t="str">
        <f>RubricTutor!D10</f>
        <v/>
      </c>
      <c r="K11" s="17"/>
      <c r="L11" s="16"/>
      <c r="M11" s="16"/>
      <c r="N11" s="16"/>
      <c r="O11" s="16"/>
    </row>
    <row r="12" ht="21.0" customHeight="1">
      <c r="A12" s="208" t="str">
        <f>Language!C16</f>
        <v>Evaluación final</v>
      </c>
      <c r="B12" s="209"/>
      <c r="C12" s="209"/>
      <c r="D12" s="210"/>
      <c r="E12" s="211">
        <f>ROUND(E10*D10+E11*D11,1)</f>
        <v>0</v>
      </c>
      <c r="F12" s="212" t="str">
        <f t="shared" si="1"/>
        <v>D</v>
      </c>
      <c r="G12" s="5"/>
      <c r="H12" s="213" t="str">
        <f>RubricTutor!D11</f>
        <v/>
      </c>
      <c r="I12" s="21"/>
      <c r="J12" s="21"/>
      <c r="K12" s="23"/>
      <c r="L12" s="16"/>
      <c r="M12" s="16"/>
      <c r="N12" s="16"/>
      <c r="O12" s="16"/>
    </row>
    <row r="13" ht="36.75" customHeight="1">
      <c r="A13" s="214"/>
      <c r="B13" s="214"/>
      <c r="C13" s="214"/>
      <c r="D13" s="5"/>
      <c r="E13" s="5"/>
      <c r="F13" s="5"/>
      <c r="G13" s="5"/>
      <c r="H13" s="5"/>
      <c r="I13" s="5"/>
      <c r="J13" s="5"/>
      <c r="K13" s="5"/>
      <c r="L13" s="5"/>
      <c r="M13" s="5"/>
      <c r="N13" s="5"/>
      <c r="O13" s="5"/>
    </row>
    <row r="14" ht="24.75" customHeight="1">
      <c r="A14" s="215" t="s">
        <v>2</v>
      </c>
      <c r="B14" s="12"/>
      <c r="C14" s="215" t="s">
        <v>3</v>
      </c>
      <c r="D14" s="12"/>
      <c r="E14" s="215" t="s">
        <v>4</v>
      </c>
      <c r="F14" s="12"/>
      <c r="G14" s="215" t="s">
        <v>5</v>
      </c>
      <c r="H14" s="12"/>
      <c r="I14" s="216" t="s">
        <v>6</v>
      </c>
      <c r="J14" s="10"/>
      <c r="K14" s="12"/>
      <c r="L14" s="112"/>
      <c r="M14" s="112"/>
      <c r="N14" s="112"/>
      <c r="O14" s="112"/>
    </row>
    <row r="15" ht="24.75" customHeight="1">
      <c r="A15" s="217">
        <v>10.0</v>
      </c>
      <c r="B15" s="218">
        <v>9.0</v>
      </c>
      <c r="C15" s="217">
        <v>8.0</v>
      </c>
      <c r="D15" s="218">
        <v>7.0</v>
      </c>
      <c r="E15" s="217">
        <v>6.0</v>
      </c>
      <c r="F15" s="218">
        <v>5.0</v>
      </c>
      <c r="G15" s="217">
        <v>4.0</v>
      </c>
      <c r="H15" s="218">
        <v>3.0</v>
      </c>
      <c r="I15" s="219">
        <v>2.0</v>
      </c>
      <c r="J15" s="219">
        <v>1.0</v>
      </c>
      <c r="K15" s="218">
        <v>0.0</v>
      </c>
      <c r="L15" s="112"/>
      <c r="M15" s="112"/>
      <c r="N15" s="112"/>
      <c r="O15" s="112"/>
    </row>
    <row r="16" ht="36.75" customHeight="1">
      <c r="A16" s="214"/>
      <c r="B16" s="214"/>
      <c r="C16" s="214"/>
      <c r="D16" s="5"/>
      <c r="E16" s="5"/>
      <c r="F16" s="5"/>
      <c r="G16" s="5"/>
      <c r="H16" s="5"/>
      <c r="I16" s="5"/>
      <c r="J16" s="5"/>
      <c r="K16" s="5"/>
      <c r="L16" s="5"/>
      <c r="M16" s="5"/>
      <c r="N16" s="5"/>
      <c r="O16" s="5"/>
    </row>
    <row r="17" ht="17.25" customHeight="1">
      <c r="A17" s="220" t="str">
        <f>Language!C14</f>
        <v>Evaluación del tutor/a</v>
      </c>
      <c r="B17" s="33"/>
      <c r="C17" s="33"/>
      <c r="D17" s="33"/>
      <c r="E17" s="33"/>
      <c r="F17" s="33"/>
      <c r="G17" s="33"/>
      <c r="H17" s="33"/>
      <c r="I17" s="33"/>
      <c r="J17" s="117"/>
      <c r="K17" s="221" t="str">
        <f>Language!C17</f>
        <v>Evaluación</v>
      </c>
      <c r="L17" s="5"/>
      <c r="M17" s="5"/>
      <c r="N17" s="5"/>
      <c r="O17" s="5"/>
    </row>
    <row r="18" ht="17.25" customHeight="1">
      <c r="A18" s="38" t="str">
        <f>Language!C29</f>
        <v>Actitud del/de la estudiante</v>
      </c>
      <c r="B18" s="27"/>
      <c r="C18" s="27"/>
      <c r="D18" s="27"/>
      <c r="E18" s="27"/>
      <c r="F18" s="27"/>
      <c r="G18" s="27"/>
      <c r="H18" s="27"/>
      <c r="I18" s="27"/>
      <c r="J18" s="27"/>
      <c r="K18" s="26"/>
      <c r="L18" s="5"/>
      <c r="M18" s="5"/>
      <c r="N18" s="5"/>
      <c r="O18" s="5"/>
    </row>
    <row r="19" ht="15.75" customHeight="1">
      <c r="A19" s="44" t="str">
        <f>Language!C30</f>
        <v>Grado de autonomía, creatividad, iniciativa, receptividad a la crítica, y buena comunicación con el tutor/a</v>
      </c>
      <c r="B19" s="45"/>
      <c r="C19" s="45"/>
      <c r="D19" s="45"/>
      <c r="E19" s="45"/>
      <c r="F19" s="45"/>
      <c r="G19" s="45"/>
      <c r="H19" s="45"/>
      <c r="I19" s="45"/>
      <c r="J19" s="128"/>
      <c r="K19" s="222" t="str">
        <f>IF(ISNUMBER(RubricTutor!Q18),ROUND(RubricTutor!Q18,2),RubricTutor!Q18)</f>
        <v>D</v>
      </c>
      <c r="L19" s="190"/>
      <c r="M19" s="5"/>
      <c r="N19" s="5"/>
      <c r="O19" s="5"/>
    </row>
    <row r="20" ht="17.25" customHeight="1">
      <c r="A20" s="223" t="str">
        <f>Language!C31</f>
        <v>Aspectos metodológicos</v>
      </c>
      <c r="B20" s="33"/>
      <c r="C20" s="33"/>
      <c r="D20" s="33"/>
      <c r="E20" s="33"/>
      <c r="F20" s="33"/>
      <c r="G20" s="33"/>
      <c r="H20" s="33"/>
      <c r="I20" s="33"/>
      <c r="J20" s="33"/>
      <c r="K20" s="224"/>
      <c r="L20" s="190"/>
      <c r="M20" s="5"/>
      <c r="N20" s="5"/>
      <c r="O20" s="5"/>
    </row>
    <row r="21" ht="17.25" customHeight="1">
      <c r="A21" s="97" t="str">
        <f>Language!C32</f>
        <v>Definición de unos objetivos claros, concretos, realistas y adecuados</v>
      </c>
      <c r="B21" s="98"/>
      <c r="C21" s="98"/>
      <c r="D21" s="98"/>
      <c r="E21" s="98"/>
      <c r="F21" s="98"/>
      <c r="G21" s="98"/>
      <c r="H21" s="98"/>
      <c r="I21" s="98"/>
      <c r="J21" s="225"/>
      <c r="K21" s="222" t="str">
        <f>IF(ISNUMBER(RubricTutor!Q20),ROUND(RubricTutor!Q20,2),RubricTutor!Q20)</f>
        <v>D</v>
      </c>
      <c r="L21" s="190"/>
      <c r="M21" s="5"/>
      <c r="N21" s="5"/>
      <c r="O21" s="5"/>
    </row>
    <row r="22" ht="17.25" customHeight="1">
      <c r="A22" s="226" t="str">
        <f>Language!C33</f>
        <v>Definición de la metodología, planificación temporal y de recursos</v>
      </c>
      <c r="B22" s="209"/>
      <c r="C22" s="209"/>
      <c r="D22" s="209"/>
      <c r="E22" s="209"/>
      <c r="F22" s="209"/>
      <c r="G22" s="209"/>
      <c r="H22" s="209"/>
      <c r="I22" s="209"/>
      <c r="J22" s="227"/>
      <c r="K22" s="228" t="str">
        <f>IF(ISNUMBER(RubricTutor!Q21),ROUND(RubricTutor!Q21,2),RubricTutor!Q21)</f>
        <v>D</v>
      </c>
      <c r="L22" s="190"/>
      <c r="M22" s="5"/>
      <c r="N22" s="5"/>
      <c r="O22" s="5"/>
    </row>
    <row r="23" ht="17.25" customHeight="1">
      <c r="A23" s="229" t="str">
        <f>Language!C34</f>
        <v>Especificación y diseño</v>
      </c>
      <c r="B23" s="4"/>
      <c r="C23" s="4"/>
      <c r="D23" s="4"/>
      <c r="E23" s="4"/>
      <c r="F23" s="4"/>
      <c r="G23" s="4"/>
      <c r="H23" s="4"/>
      <c r="I23" s="4"/>
      <c r="J23" s="4"/>
      <c r="K23" s="230"/>
      <c r="L23" s="190"/>
      <c r="M23" s="5"/>
      <c r="N23" s="5"/>
      <c r="O23" s="5"/>
    </row>
    <row r="24" ht="30.75" customHeight="1">
      <c r="A24" s="97" t="str">
        <f>Language!C35</f>
        <v>Estudio previo e identificación de los aspectos relevantes del problema y de su solución (e.g. estado del arte, estudio de mercado)</v>
      </c>
      <c r="B24" s="98"/>
      <c r="C24" s="98"/>
      <c r="D24" s="98"/>
      <c r="E24" s="98"/>
      <c r="F24" s="98"/>
      <c r="G24" s="98"/>
      <c r="H24" s="98"/>
      <c r="I24" s="98"/>
      <c r="J24" s="225"/>
      <c r="K24" s="222" t="str">
        <f>IF(ISNUMBER(RubricTutor!Q23),ROUND(RubricTutor!Q23,2),RubricTutor!Q23)</f>
        <v>D</v>
      </c>
      <c r="L24" s="190"/>
      <c r="M24" s="5"/>
      <c r="N24" s="5"/>
      <c r="O24" s="5"/>
    </row>
    <row r="25" ht="17.25" customHeight="1">
      <c r="A25" s="80" t="str">
        <f>Language!C36</f>
        <v>Análisis de requerimientos</v>
      </c>
      <c r="B25" s="81"/>
      <c r="C25" s="81"/>
      <c r="D25" s="81"/>
      <c r="E25" s="81"/>
      <c r="F25" s="81"/>
      <c r="G25" s="81"/>
      <c r="H25" s="81"/>
      <c r="I25" s="81"/>
      <c r="J25" s="130"/>
      <c r="K25" s="231" t="str">
        <f>IF(ISNUMBER(RubricTutor!Q24),ROUND(RubricTutor!Q24,2),RubricTutor!Q24)</f>
        <v>D</v>
      </c>
      <c r="L25" s="190"/>
      <c r="M25" s="5"/>
      <c r="N25" s="5"/>
      <c r="O25" s="5"/>
    </row>
    <row r="26" ht="17.25" customHeight="1">
      <c r="A26" s="232" t="str">
        <f>Language!C37</f>
        <v>Diseño adecuado de la propuesta</v>
      </c>
      <c r="B26" s="81"/>
      <c r="C26" s="81"/>
      <c r="D26" s="81"/>
      <c r="E26" s="81"/>
      <c r="F26" s="81"/>
      <c r="G26" s="81"/>
      <c r="H26" s="81"/>
      <c r="I26" s="81"/>
      <c r="J26" s="130"/>
      <c r="K26" s="231" t="str">
        <f>IF(ISNUMBER(RubricTutor!Q25),ROUND(RubricTutor!Q25,2),RubricTutor!Q25)</f>
        <v>D</v>
      </c>
      <c r="L26" s="190"/>
      <c r="M26" s="5"/>
      <c r="N26" s="5"/>
      <c r="O26" s="5"/>
    </row>
    <row r="27" ht="17.25" customHeight="1">
      <c r="A27" s="232" t="str">
        <f>Language!C38</f>
        <v>Elección de herramientas, tecnologías y fuentes de información adecuadas para el desarrollo del trabajo</v>
      </c>
      <c r="B27" s="81"/>
      <c r="C27" s="81"/>
      <c r="D27" s="81"/>
      <c r="E27" s="81"/>
      <c r="F27" s="81"/>
      <c r="G27" s="81"/>
      <c r="H27" s="81"/>
      <c r="I27" s="81"/>
      <c r="J27" s="130"/>
      <c r="K27" s="231" t="str">
        <f>IF(ISNUMBER(RubricTutor!Q26),ROUND(RubricTutor!Q26,2),RubricTutor!Q26)</f>
        <v>D</v>
      </c>
      <c r="L27" s="190"/>
      <c r="M27" s="5"/>
      <c r="N27" s="5"/>
      <c r="O27" s="5"/>
    </row>
    <row r="28" ht="17.25" customHeight="1">
      <c r="A28" s="233" t="str">
        <f>Language!C39</f>
        <v>Grado de análisis y tratamiento del impacto ético-social, de sostenibilidad y de diversidad del trabajo</v>
      </c>
      <c r="B28" s="209"/>
      <c r="C28" s="209"/>
      <c r="D28" s="209"/>
      <c r="E28" s="209"/>
      <c r="F28" s="209"/>
      <c r="G28" s="209"/>
      <c r="H28" s="209"/>
      <c r="I28" s="209"/>
      <c r="J28" s="227"/>
      <c r="K28" s="228" t="str">
        <f>IF(ISNUMBER(RubricTutor!Q27),ROUND(RubricTutor!Q27,2),RubricTutor!Q27)</f>
        <v>D</v>
      </c>
      <c r="L28" s="190"/>
      <c r="M28" s="5"/>
      <c r="N28" s="5"/>
      <c r="O28" s="5"/>
    </row>
    <row r="29" ht="17.25" customHeight="1">
      <c r="A29" s="234" t="str">
        <f>Language!C40</f>
        <v>Ejecución e implementación del proyecto</v>
      </c>
      <c r="B29" s="138"/>
      <c r="C29" s="138"/>
      <c r="D29" s="138"/>
      <c r="E29" s="138"/>
      <c r="F29" s="138"/>
      <c r="G29" s="138"/>
      <c r="H29" s="138"/>
      <c r="I29" s="138"/>
      <c r="J29" s="138"/>
      <c r="K29" s="139"/>
      <c r="L29" s="190"/>
      <c r="M29" s="5"/>
      <c r="N29" s="5"/>
      <c r="O29" s="5"/>
    </row>
    <row r="30" ht="17.25" customHeight="1">
      <c r="A30" s="97" t="str">
        <f>Language!C41</f>
        <v>Seguimiento de la planificación y capacidad de adaptación</v>
      </c>
      <c r="B30" s="98"/>
      <c r="C30" s="98"/>
      <c r="D30" s="98"/>
      <c r="E30" s="98"/>
      <c r="F30" s="98"/>
      <c r="G30" s="98"/>
      <c r="H30" s="98"/>
      <c r="I30" s="98"/>
      <c r="J30" s="225"/>
      <c r="K30" s="222" t="str">
        <f>IF(ISNUMBER(RubricTutor!Q29),ROUND(RubricTutor!Q29,2),RubricTutor!Q29)</f>
        <v>D</v>
      </c>
      <c r="L30" s="190"/>
      <c r="M30" s="5"/>
      <c r="N30" s="5"/>
      <c r="O30" s="5"/>
    </row>
    <row r="31" ht="28.5" customHeight="1">
      <c r="A31" s="80" t="str">
        <f>Language!C42</f>
        <v>Calidad de la contribución técnica y/o científica del proyecto. Calidad de la solución/producto en desarrollo/obtenido</v>
      </c>
      <c r="B31" s="81"/>
      <c r="C31" s="81"/>
      <c r="D31" s="81"/>
      <c r="E31" s="81"/>
      <c r="F31" s="81"/>
      <c r="G31" s="81"/>
      <c r="H31" s="81"/>
      <c r="I31" s="81"/>
      <c r="J31" s="130"/>
      <c r="K31" s="231" t="str">
        <f>IF(ISNUMBER(RubricTutor!Q30),ROUND(RubricTutor!Q30,2),RubricTutor!Q30)</f>
        <v>D</v>
      </c>
      <c r="L31" s="190"/>
      <c r="M31" s="5"/>
      <c r="N31" s="5"/>
      <c r="O31" s="5"/>
    </row>
    <row r="32" ht="17.25" customHeight="1">
      <c r="A32" s="80" t="str">
        <f>Language!C43</f>
        <v>Grado de innovación de la solución presentada</v>
      </c>
      <c r="B32" s="81"/>
      <c r="C32" s="81"/>
      <c r="D32" s="81"/>
      <c r="E32" s="81"/>
      <c r="F32" s="81"/>
      <c r="G32" s="81"/>
      <c r="H32" s="81"/>
      <c r="I32" s="81"/>
      <c r="J32" s="130"/>
      <c r="K32" s="231" t="str">
        <f>IF(ISNUMBER(RubricTutor!Q31),ROUND(RubricTutor!Q31,2),RubricTutor!Q31)</f>
        <v>D</v>
      </c>
      <c r="L32" s="190"/>
      <c r="M32" s="5"/>
      <c r="N32" s="5"/>
      <c r="O32" s="5"/>
    </row>
    <row r="33" ht="17.25" customHeight="1">
      <c r="A33" s="226" t="str">
        <f>Language!C44</f>
        <v>Conclusiones y discusión de los resultados</v>
      </c>
      <c r="B33" s="209"/>
      <c r="C33" s="209"/>
      <c r="D33" s="209"/>
      <c r="E33" s="209"/>
      <c r="F33" s="209"/>
      <c r="G33" s="209"/>
      <c r="H33" s="209"/>
      <c r="I33" s="209"/>
      <c r="J33" s="227"/>
      <c r="K33" s="228" t="str">
        <f>IF(ISNUMBER(RubricTutor!Q32),ROUND(RubricTutor!Q32,2),RubricTutor!Q32)</f>
        <v>D</v>
      </c>
      <c r="L33" s="190"/>
      <c r="M33" s="5"/>
      <c r="N33" s="5"/>
      <c r="O33" s="5"/>
    </row>
    <row r="34" ht="17.25" customHeight="1">
      <c r="A34" s="229" t="str">
        <f>Language!C45</f>
        <v>Aspectos formales de la memoria</v>
      </c>
      <c r="B34" s="4"/>
      <c r="C34" s="4"/>
      <c r="D34" s="4"/>
      <c r="E34" s="4"/>
      <c r="F34" s="4"/>
      <c r="G34" s="4"/>
      <c r="H34" s="4"/>
      <c r="I34" s="4"/>
      <c r="J34" s="4"/>
      <c r="K34" s="230"/>
      <c r="L34" s="190"/>
      <c r="M34" s="5"/>
      <c r="N34" s="5"/>
      <c r="O34" s="5"/>
    </row>
    <row r="35" ht="17.25" customHeight="1">
      <c r="A35" s="97" t="str">
        <f>Language!C46</f>
        <v>Redacción adecuada, utilización flexible de un lenguaje inclusivo, y organización clara y correcta del contenido</v>
      </c>
      <c r="B35" s="98"/>
      <c r="C35" s="98"/>
      <c r="D35" s="98"/>
      <c r="E35" s="98"/>
      <c r="F35" s="98"/>
      <c r="G35" s="98"/>
      <c r="H35" s="98"/>
      <c r="I35" s="98"/>
      <c r="J35" s="225"/>
      <c r="K35" s="222" t="str">
        <f>IF(ISNUMBER(RubricTutor!Q34),ROUND(RubricTutor!Q34,2),RubricTutor!Q34)</f>
        <v>D</v>
      </c>
      <c r="L35" s="190"/>
      <c r="M35" s="5"/>
      <c r="N35" s="5"/>
      <c r="O35" s="5"/>
    </row>
    <row r="36" ht="17.25" customHeight="1">
      <c r="A36" s="226" t="str">
        <f>Language!C47</f>
        <v>Fuentes de información y referencias bibliográficas</v>
      </c>
      <c r="B36" s="209"/>
      <c r="C36" s="209"/>
      <c r="D36" s="209"/>
      <c r="E36" s="209"/>
      <c r="F36" s="209"/>
      <c r="G36" s="209"/>
      <c r="H36" s="209"/>
      <c r="I36" s="209"/>
      <c r="J36" s="227"/>
      <c r="K36" s="228" t="str">
        <f>IF(ISNUMBER(RubricTutor!Q35),ROUND(RubricTutor!Q35,2),RubricTutor!Q35)</f>
        <v>D</v>
      </c>
      <c r="L36" s="190"/>
      <c r="M36" s="5"/>
      <c r="N36" s="5"/>
      <c r="O36" s="5"/>
    </row>
    <row r="37" ht="17.25" customHeight="1">
      <c r="A37" s="235" t="str">
        <f>Language!C18</f>
        <v>Evaluación final del tutor/a</v>
      </c>
      <c r="B37" s="138"/>
      <c r="C37" s="138"/>
      <c r="D37" s="138"/>
      <c r="E37" s="138"/>
      <c r="F37" s="138"/>
      <c r="G37" s="138"/>
      <c r="H37" s="138"/>
      <c r="I37" s="138"/>
      <c r="J37" s="138"/>
      <c r="K37" s="236">
        <f>IF(ISNUMBER(RubricTutor!Q37),ROUND(RubricTutor!Q37,1),RubricTutor!Q37)</f>
        <v>0</v>
      </c>
      <c r="L37" s="5"/>
      <c r="M37" s="5"/>
      <c r="N37" s="5"/>
      <c r="O37" s="5"/>
    </row>
    <row r="38" ht="17.25" customHeight="1">
      <c r="A38" s="43"/>
      <c r="B38" s="43"/>
      <c r="C38" s="43"/>
      <c r="D38" s="43"/>
      <c r="E38" s="43"/>
      <c r="F38" s="43"/>
      <c r="G38" s="43"/>
      <c r="H38" s="43"/>
      <c r="I38" s="43"/>
      <c r="J38" s="43"/>
      <c r="K38" s="43"/>
      <c r="L38" s="5"/>
      <c r="M38" s="5"/>
      <c r="N38" s="5"/>
      <c r="O38" s="5"/>
    </row>
    <row r="39" ht="17.25" customHeight="1">
      <c r="A39" s="43"/>
      <c r="B39" s="43"/>
      <c r="C39" s="43"/>
      <c r="D39" s="43"/>
      <c r="E39" s="43"/>
      <c r="F39" s="43"/>
      <c r="G39" s="43"/>
      <c r="H39" s="43"/>
      <c r="I39" s="43"/>
      <c r="J39" s="43"/>
      <c r="K39" s="43"/>
      <c r="L39" s="5"/>
      <c r="M39" s="5"/>
      <c r="N39" s="5"/>
      <c r="O39" s="5"/>
    </row>
    <row r="40" ht="17.25" customHeight="1">
      <c r="A40" s="43"/>
      <c r="B40" s="43"/>
      <c r="C40" s="43"/>
      <c r="D40" s="43"/>
      <c r="E40" s="43"/>
      <c r="F40" s="43"/>
      <c r="G40" s="43"/>
      <c r="H40" s="43"/>
      <c r="I40" s="43"/>
      <c r="J40" s="43"/>
      <c r="K40" s="43"/>
      <c r="L40" s="5"/>
      <c r="M40" s="5"/>
      <c r="N40" s="5"/>
      <c r="O40" s="5"/>
    </row>
    <row r="41" ht="17.25" customHeight="1">
      <c r="A41" s="220" t="str">
        <f>Language!C15</f>
        <v>Evaluación del tribunal</v>
      </c>
      <c r="B41" s="33"/>
      <c r="C41" s="33"/>
      <c r="D41" s="33"/>
      <c r="E41" s="33"/>
      <c r="F41" s="33"/>
      <c r="G41" s="33"/>
      <c r="H41" s="33"/>
      <c r="I41" s="33"/>
      <c r="J41" s="117"/>
      <c r="K41" s="221" t="str">
        <f>Language!C17</f>
        <v>Evaluación</v>
      </c>
      <c r="L41" s="5"/>
      <c r="M41" s="5"/>
      <c r="N41" s="5"/>
      <c r="O41" s="5"/>
    </row>
    <row r="42" ht="17.25" customHeight="1">
      <c r="A42" s="223" t="str">
        <f>Language!C31</f>
        <v>Aspectos metodológicos</v>
      </c>
      <c r="B42" s="33"/>
      <c r="C42" s="33"/>
      <c r="D42" s="33"/>
      <c r="E42" s="33"/>
      <c r="F42" s="33"/>
      <c r="G42" s="33"/>
      <c r="H42" s="33"/>
      <c r="I42" s="33"/>
      <c r="J42" s="33"/>
      <c r="K42" s="34"/>
      <c r="L42" s="5"/>
      <c r="M42" s="5"/>
      <c r="N42" s="5"/>
      <c r="O42" s="5"/>
    </row>
    <row r="43" ht="17.25" customHeight="1">
      <c r="A43" s="97" t="str">
        <f>Language!C32</f>
        <v>Definición de unos objetivos claros, concretos, realistas y adecuados</v>
      </c>
      <c r="B43" s="98"/>
      <c r="C43" s="98"/>
      <c r="D43" s="98"/>
      <c r="E43" s="98"/>
      <c r="F43" s="98"/>
      <c r="G43" s="98"/>
      <c r="H43" s="98"/>
      <c r="I43" s="98"/>
      <c r="J43" s="225"/>
      <c r="K43" s="222" t="str">
        <f>DefenseSummary!G9</f>
        <v>D</v>
      </c>
      <c r="L43" s="5"/>
      <c r="M43" s="5"/>
      <c r="N43" s="5"/>
      <c r="O43" s="5"/>
    </row>
    <row r="44" ht="17.25" customHeight="1">
      <c r="A44" s="90" t="str">
        <f>Language!C33</f>
        <v>Definición de la metodología, planificación temporal y de recursos</v>
      </c>
      <c r="B44" s="91"/>
      <c r="C44" s="91"/>
      <c r="D44" s="91"/>
      <c r="E44" s="91"/>
      <c r="F44" s="91"/>
      <c r="G44" s="91"/>
      <c r="H44" s="91"/>
      <c r="I44" s="91"/>
      <c r="J44" s="125"/>
      <c r="K44" s="228" t="str">
        <f>DefenseSummary!G10</f>
        <v>D</v>
      </c>
      <c r="L44" s="5"/>
      <c r="M44" s="5"/>
      <c r="N44" s="5"/>
      <c r="O44" s="5"/>
    </row>
    <row r="45" ht="17.25" customHeight="1">
      <c r="A45" s="223" t="str">
        <f>Language!C34</f>
        <v>Especificación y diseño</v>
      </c>
      <c r="B45" s="33"/>
      <c r="C45" s="33"/>
      <c r="D45" s="33"/>
      <c r="E45" s="33"/>
      <c r="F45" s="33"/>
      <c r="G45" s="33"/>
      <c r="H45" s="33"/>
      <c r="I45" s="33"/>
      <c r="J45" s="33"/>
      <c r="K45" s="34"/>
      <c r="L45" s="190"/>
      <c r="M45" s="5"/>
      <c r="N45" s="5"/>
      <c r="O45" s="5"/>
    </row>
    <row r="46" ht="30.75" customHeight="1">
      <c r="A46" s="97" t="str">
        <f>Language!C35</f>
        <v>Estudio previo e identificación de los aspectos relevantes del problema y de su solución (e.g. estado del arte, estudio de mercado)</v>
      </c>
      <c r="B46" s="98"/>
      <c r="C46" s="98"/>
      <c r="D46" s="98"/>
      <c r="E46" s="98"/>
      <c r="F46" s="98"/>
      <c r="G46" s="98"/>
      <c r="H46" s="98"/>
      <c r="I46" s="98"/>
      <c r="J46" s="225"/>
      <c r="K46" s="222" t="str">
        <f>DefenseSummary!G12</f>
        <v>D</v>
      </c>
      <c r="L46" s="190"/>
      <c r="M46" s="5"/>
      <c r="N46" s="5"/>
      <c r="O46" s="5"/>
    </row>
    <row r="47" ht="18.75" customHeight="1">
      <c r="A47" s="80" t="str">
        <f>Language!C36</f>
        <v>Análisis de requerimientos</v>
      </c>
      <c r="B47" s="81"/>
      <c r="C47" s="81"/>
      <c r="D47" s="81"/>
      <c r="E47" s="81"/>
      <c r="F47" s="81"/>
      <c r="G47" s="81"/>
      <c r="H47" s="81"/>
      <c r="I47" s="81"/>
      <c r="J47" s="130"/>
      <c r="K47" s="231" t="str">
        <f>DefenseSummary!G13</f>
        <v>D</v>
      </c>
      <c r="L47" s="190"/>
      <c r="M47" s="5"/>
      <c r="N47" s="5"/>
      <c r="O47" s="5"/>
    </row>
    <row r="48" ht="18.75" customHeight="1">
      <c r="A48" s="80" t="str">
        <f>Language!C37</f>
        <v>Diseño adecuado de la propuesta</v>
      </c>
      <c r="B48" s="81"/>
      <c r="C48" s="81"/>
      <c r="D48" s="81"/>
      <c r="E48" s="81"/>
      <c r="F48" s="81"/>
      <c r="G48" s="81"/>
      <c r="H48" s="81"/>
      <c r="I48" s="81"/>
      <c r="J48" s="130"/>
      <c r="K48" s="231" t="str">
        <f>DefenseSummary!G14</f>
        <v>D</v>
      </c>
      <c r="L48" s="190"/>
      <c r="M48" s="5"/>
      <c r="N48" s="5"/>
      <c r="O48" s="5"/>
    </row>
    <row r="49" ht="18.75" customHeight="1">
      <c r="A49" s="90" t="str">
        <f>Language!C38</f>
        <v>Elección de herramientas, tecnologías y fuentes de información adecuadas para el desarrollo del trabajo</v>
      </c>
      <c r="B49" s="91"/>
      <c r="C49" s="91"/>
      <c r="D49" s="91"/>
      <c r="E49" s="91"/>
      <c r="F49" s="91"/>
      <c r="G49" s="91"/>
      <c r="H49" s="91"/>
      <c r="I49" s="91"/>
      <c r="J49" s="125"/>
      <c r="K49" s="231" t="str">
        <f>DefenseSummary!G15</f>
        <v>D</v>
      </c>
      <c r="L49" s="190"/>
      <c r="M49" s="5"/>
      <c r="N49" s="5"/>
      <c r="O49" s="5"/>
    </row>
    <row r="50" ht="32.25" customHeight="1">
      <c r="A50" s="226" t="str">
        <f>Language!C39</f>
        <v>Grado de análisis y tratamiento del impacto ético-social, de sostenibilidad y de diversidad del trabajo</v>
      </c>
      <c r="B50" s="209"/>
      <c r="C50" s="209"/>
      <c r="D50" s="209"/>
      <c r="E50" s="209"/>
      <c r="F50" s="209"/>
      <c r="G50" s="209"/>
      <c r="H50" s="209"/>
      <c r="I50" s="209"/>
      <c r="J50" s="227"/>
      <c r="K50" s="228" t="str">
        <f>DefenseSummary!G16</f>
        <v>D</v>
      </c>
      <c r="L50" s="190"/>
      <c r="M50" s="5"/>
      <c r="N50" s="5"/>
      <c r="O50" s="5"/>
    </row>
    <row r="51" ht="17.25" customHeight="1">
      <c r="A51" s="229" t="str">
        <f>Language!C40</f>
        <v>Ejecución e implementación del proyecto</v>
      </c>
      <c r="B51" s="4"/>
      <c r="C51" s="4"/>
      <c r="D51" s="4"/>
      <c r="E51" s="4"/>
      <c r="F51" s="4"/>
      <c r="G51" s="4"/>
      <c r="H51" s="4"/>
      <c r="I51" s="4"/>
      <c r="J51" s="4"/>
      <c r="K51" s="237" t="str">
        <f>RubricTutor!Q44</f>
        <v/>
      </c>
      <c r="L51" s="190"/>
      <c r="M51" s="5"/>
      <c r="N51" s="5"/>
      <c r="O51" s="5"/>
    </row>
    <row r="52" ht="17.25" customHeight="1">
      <c r="A52" s="238" t="str">
        <f>Language!C42</f>
        <v>Calidad de la contribución técnica y/o científica del proyecto. Calidad de la solución/producto en desarrollo/obtenido</v>
      </c>
      <c r="B52" s="98"/>
      <c r="C52" s="98"/>
      <c r="D52" s="98"/>
      <c r="E52" s="98"/>
      <c r="F52" s="98"/>
      <c r="G52" s="98"/>
      <c r="H52" s="98"/>
      <c r="I52" s="98"/>
      <c r="J52" s="225"/>
      <c r="K52" s="222" t="str">
        <f>DefenseSummary!G18</f>
        <v>D</v>
      </c>
      <c r="L52" s="190"/>
      <c r="M52" s="5"/>
      <c r="N52" s="5"/>
      <c r="O52" s="5"/>
    </row>
    <row r="53" ht="17.25" customHeight="1">
      <c r="A53" s="232" t="str">
        <f>Language!C43</f>
        <v>Grado de innovación de la solución presentada</v>
      </c>
      <c r="B53" s="81"/>
      <c r="C53" s="81"/>
      <c r="D53" s="81"/>
      <c r="E53" s="81"/>
      <c r="F53" s="81"/>
      <c r="G53" s="81"/>
      <c r="H53" s="81"/>
      <c r="I53" s="81"/>
      <c r="J53" s="130"/>
      <c r="K53" s="231" t="str">
        <f>DefenseSummary!G19</f>
        <v>D</v>
      </c>
      <c r="L53" s="190"/>
      <c r="M53" s="5"/>
      <c r="N53" s="5"/>
      <c r="O53" s="5"/>
    </row>
    <row r="54" ht="17.25" customHeight="1">
      <c r="A54" s="233" t="str">
        <f>Language!C44</f>
        <v>Conclusiones y discusión de los resultados</v>
      </c>
      <c r="B54" s="209"/>
      <c r="C54" s="209"/>
      <c r="D54" s="209"/>
      <c r="E54" s="209"/>
      <c r="F54" s="209"/>
      <c r="G54" s="209"/>
      <c r="H54" s="209"/>
      <c r="I54" s="209"/>
      <c r="J54" s="227"/>
      <c r="K54" s="228" t="str">
        <f>DefenseSummary!G20</f>
        <v>D</v>
      </c>
      <c r="L54" s="190"/>
      <c r="M54" s="5"/>
      <c r="N54" s="5"/>
      <c r="O54" s="5"/>
    </row>
    <row r="55" ht="17.25" customHeight="1">
      <c r="A55" s="229" t="str">
        <f>Language!C45</f>
        <v>Aspectos formales de la memoria</v>
      </c>
      <c r="B55" s="4"/>
      <c r="C55" s="4"/>
      <c r="D55" s="4"/>
      <c r="E55" s="4"/>
      <c r="F55" s="4"/>
      <c r="G55" s="4"/>
      <c r="H55" s="4"/>
      <c r="I55" s="4"/>
      <c r="J55" s="4"/>
      <c r="K55" s="237"/>
      <c r="L55" s="190"/>
      <c r="M55" s="5"/>
      <c r="N55" s="5"/>
      <c r="O55" s="5"/>
    </row>
    <row r="56" ht="17.25" customHeight="1">
      <c r="A56" s="238" t="str">
        <f>Language!C46</f>
        <v>Redacción adecuada, utilización flexible de un lenguaje inclusivo, y organización clara y correcta del contenido</v>
      </c>
      <c r="B56" s="98"/>
      <c r="C56" s="98"/>
      <c r="D56" s="98"/>
      <c r="E56" s="98"/>
      <c r="F56" s="98"/>
      <c r="G56" s="98"/>
      <c r="H56" s="98"/>
      <c r="I56" s="98"/>
      <c r="J56" s="225"/>
      <c r="K56" s="222" t="str">
        <f>DefenseSummary!G22</f>
        <v>D</v>
      </c>
      <c r="L56" s="190"/>
      <c r="M56" s="5"/>
      <c r="N56" s="5"/>
      <c r="O56" s="5"/>
    </row>
    <row r="57" ht="17.25" customHeight="1">
      <c r="A57" s="233" t="str">
        <f>Language!C47</f>
        <v>Fuentes de información y referencias bibliográficas</v>
      </c>
      <c r="B57" s="209"/>
      <c r="C57" s="209"/>
      <c r="D57" s="209"/>
      <c r="E57" s="209"/>
      <c r="F57" s="209"/>
      <c r="G57" s="209"/>
      <c r="H57" s="209"/>
      <c r="I57" s="209"/>
      <c r="J57" s="227"/>
      <c r="K57" s="228" t="str">
        <f>DefenseSummary!G23</f>
        <v>D</v>
      </c>
      <c r="L57" s="190"/>
      <c r="M57" s="5"/>
      <c r="N57" s="5"/>
      <c r="O57" s="5"/>
    </row>
    <row r="58" ht="17.25" customHeight="1">
      <c r="A58" s="229" t="str">
        <f>Language!C48</f>
        <v>Defensa del proyecto</v>
      </c>
      <c r="B58" s="4"/>
      <c r="C58" s="4"/>
      <c r="D58" s="4"/>
      <c r="E58" s="4"/>
      <c r="F58" s="4"/>
      <c r="G58" s="4"/>
      <c r="H58" s="4"/>
      <c r="I58" s="4"/>
      <c r="J58" s="4"/>
      <c r="K58" s="237"/>
      <c r="L58" s="190"/>
      <c r="M58" s="5"/>
      <c r="N58" s="5"/>
      <c r="O58" s="5"/>
    </row>
    <row r="59" ht="17.25" customHeight="1">
      <c r="A59" s="97" t="str">
        <f>Language!C52</f>
        <v>Presentación</v>
      </c>
      <c r="B59" s="98"/>
      <c r="C59" s="98"/>
      <c r="D59" s="98"/>
      <c r="E59" s="98"/>
      <c r="F59" s="98"/>
      <c r="G59" s="98"/>
      <c r="H59" s="98"/>
      <c r="I59" s="98"/>
      <c r="J59" s="225"/>
      <c r="K59" s="222" t="str">
        <f>DefenseSummary!G25</f>
        <v>D</v>
      </c>
      <c r="L59" s="190"/>
      <c r="M59" s="5"/>
      <c r="N59" s="5"/>
      <c r="O59" s="5"/>
    </row>
    <row r="60" ht="17.25" customHeight="1">
      <c r="A60" s="239" t="str">
        <f>Language!C53</f>
        <v>Defensa</v>
      </c>
      <c r="B60" s="91"/>
      <c r="C60" s="91"/>
      <c r="D60" s="91"/>
      <c r="E60" s="91"/>
      <c r="F60" s="91"/>
      <c r="G60" s="91"/>
      <c r="H60" s="91"/>
      <c r="I60" s="91"/>
      <c r="J60" s="125"/>
      <c r="K60" s="240" t="str">
        <f>DefenseSummary!G26</f>
        <v>D</v>
      </c>
      <c r="L60" s="190"/>
      <c r="M60" s="5"/>
      <c r="N60" s="5"/>
      <c r="O60" s="5"/>
    </row>
    <row r="61" ht="17.25" customHeight="1">
      <c r="A61" s="105" t="str">
        <f>Language!C19</f>
        <v>Evaluación final del tribunal</v>
      </c>
      <c r="B61" s="27"/>
      <c r="C61" s="27"/>
      <c r="D61" s="27"/>
      <c r="E61" s="27"/>
      <c r="F61" s="27"/>
      <c r="G61" s="27"/>
      <c r="H61" s="27"/>
      <c r="I61" s="27"/>
      <c r="J61" s="241"/>
      <c r="K61" s="242">
        <f>DefenseSummary!F27</f>
        <v>0</v>
      </c>
      <c r="L61" s="190"/>
      <c r="M61" s="5"/>
      <c r="N61" s="5"/>
      <c r="O61" s="5"/>
    </row>
    <row r="62" ht="17.25" customHeight="1">
      <c r="A62" s="110"/>
      <c r="B62" s="110"/>
      <c r="C62" s="110"/>
      <c r="D62" s="5"/>
      <c r="E62" s="5"/>
      <c r="F62" s="5"/>
      <c r="G62" s="5"/>
      <c r="H62" s="5"/>
      <c r="I62" s="5"/>
      <c r="J62" s="5"/>
      <c r="K62" s="5"/>
      <c r="L62" s="5"/>
      <c r="M62" s="5"/>
      <c r="N62" s="5"/>
      <c r="O62" s="5"/>
    </row>
    <row r="63" ht="17.25" customHeight="1">
      <c r="A63" s="42" t="str">
        <f>Language!C16</f>
        <v>Evaluación final</v>
      </c>
      <c r="B63" s="27"/>
      <c r="C63" s="27"/>
      <c r="D63" s="27"/>
      <c r="E63" s="27"/>
      <c r="F63" s="27"/>
      <c r="G63" s="27"/>
      <c r="H63" s="27"/>
      <c r="I63" s="27"/>
      <c r="J63" s="241"/>
      <c r="K63" s="243" t="str">
        <f>Language!C17</f>
        <v>Evaluación</v>
      </c>
      <c r="L63" s="5"/>
      <c r="M63" s="5"/>
      <c r="N63" s="5"/>
      <c r="O63" s="5"/>
    </row>
    <row r="64" ht="17.25" customHeight="1">
      <c r="A64" s="244" t="str">
        <f>Language!C14</f>
        <v>Evaluación del tutor/a</v>
      </c>
      <c r="B64" s="45"/>
      <c r="C64" s="45"/>
      <c r="D64" s="45"/>
      <c r="E64" s="45"/>
      <c r="F64" s="45"/>
      <c r="G64" s="45"/>
      <c r="H64" s="45"/>
      <c r="I64" s="45"/>
      <c r="J64" s="245">
        <f t="shared" ref="J64:K64" si="2">D10</f>
        <v>0.4</v>
      </c>
      <c r="K64" s="246">
        <f t="shared" si="2"/>
        <v>0</v>
      </c>
      <c r="L64" s="5"/>
      <c r="M64" s="5"/>
      <c r="N64" s="5"/>
      <c r="O64" s="5"/>
    </row>
    <row r="65" ht="17.25" customHeight="1">
      <c r="A65" s="121" t="str">
        <f>Language!C15</f>
        <v>Evaluación del tribunal</v>
      </c>
      <c r="J65" s="247">
        <f t="shared" ref="J65:K65" si="3">D11</f>
        <v>0.6</v>
      </c>
      <c r="K65" s="240">
        <f t="shared" si="3"/>
        <v>0</v>
      </c>
      <c r="L65" s="5"/>
      <c r="M65" s="5"/>
      <c r="N65" s="5"/>
      <c r="O65" s="5"/>
    </row>
    <row r="66" ht="17.25" customHeight="1">
      <c r="A66" s="105" t="str">
        <f>Language!C16</f>
        <v>Evaluación final</v>
      </c>
      <c r="B66" s="27"/>
      <c r="C66" s="27"/>
      <c r="D66" s="27"/>
      <c r="E66" s="27"/>
      <c r="F66" s="27"/>
      <c r="G66" s="27"/>
      <c r="H66" s="27"/>
      <c r="I66" s="27"/>
      <c r="J66" s="241"/>
      <c r="K66" s="242">
        <f>E12</f>
        <v>0</v>
      </c>
      <c r="L66" s="5"/>
      <c r="M66" s="5"/>
      <c r="N66" s="5"/>
      <c r="O66" s="5"/>
    </row>
    <row r="67" ht="17.25" customHeight="1">
      <c r="A67" s="110"/>
      <c r="B67" s="110"/>
      <c r="C67" s="110"/>
      <c r="D67" s="5"/>
      <c r="E67" s="5"/>
      <c r="F67" s="5"/>
      <c r="G67" s="5"/>
      <c r="H67" s="5"/>
      <c r="I67" s="5"/>
      <c r="J67" s="5"/>
      <c r="K67" s="5"/>
      <c r="L67" s="5"/>
      <c r="M67" s="5"/>
      <c r="N67" s="5"/>
      <c r="O67" s="5"/>
    </row>
    <row r="68" ht="17.25" customHeight="1">
      <c r="A68" s="110"/>
      <c r="B68" s="110"/>
      <c r="C68" s="110"/>
      <c r="D68" s="5"/>
      <c r="E68" s="5"/>
      <c r="F68" s="5"/>
      <c r="G68" s="5"/>
      <c r="H68" s="5"/>
      <c r="I68" s="5"/>
      <c r="J68" s="5"/>
      <c r="K68" s="5"/>
      <c r="L68" s="5"/>
      <c r="M68" s="5"/>
      <c r="N68" s="5"/>
      <c r="O68" s="5"/>
    </row>
    <row r="69" ht="17.25" customHeight="1">
      <c r="A69" s="110"/>
      <c r="B69" s="110"/>
      <c r="C69" s="110"/>
      <c r="D69" s="5"/>
      <c r="E69" s="5"/>
      <c r="F69" s="5"/>
      <c r="G69" s="5"/>
      <c r="H69" s="5"/>
      <c r="I69" s="5"/>
      <c r="J69" s="5"/>
      <c r="K69" s="5"/>
      <c r="L69" s="5"/>
      <c r="M69" s="5"/>
      <c r="N69" s="5"/>
      <c r="O69" s="5"/>
    </row>
    <row r="70" ht="17.25" customHeight="1">
      <c r="A70" s="110"/>
      <c r="B70" s="110"/>
      <c r="C70" s="110"/>
      <c r="D70" s="5"/>
      <c r="E70" s="5"/>
      <c r="F70" s="5"/>
      <c r="G70" s="5"/>
      <c r="H70" s="5"/>
      <c r="I70" s="5"/>
      <c r="J70" s="5"/>
      <c r="K70" s="5"/>
      <c r="L70" s="5"/>
      <c r="M70" s="5"/>
      <c r="N70" s="5"/>
      <c r="O70" s="5"/>
    </row>
    <row r="71" ht="17.25" customHeight="1">
      <c r="A71" s="110"/>
      <c r="B71" s="110"/>
      <c r="C71" s="110"/>
      <c r="D71" s="5"/>
      <c r="E71" s="5"/>
      <c r="F71" s="5"/>
      <c r="G71" s="5"/>
      <c r="H71" s="5"/>
      <c r="I71" s="5"/>
      <c r="J71" s="5"/>
      <c r="K71" s="5"/>
      <c r="L71" s="5"/>
      <c r="M71" s="5"/>
      <c r="N71" s="5"/>
      <c r="O71" s="5"/>
    </row>
    <row r="72" ht="17.25" customHeight="1">
      <c r="A72" s="110"/>
      <c r="B72" s="110"/>
      <c r="C72" s="110"/>
      <c r="D72" s="5"/>
      <c r="E72" s="5"/>
      <c r="F72" s="5"/>
      <c r="G72" s="5"/>
      <c r="H72" s="5"/>
      <c r="I72" s="5"/>
      <c r="J72" s="5"/>
      <c r="K72" s="5"/>
      <c r="L72" s="5"/>
      <c r="M72" s="5"/>
      <c r="N72" s="5"/>
      <c r="O72" s="5"/>
    </row>
    <row r="73" ht="17.25" customHeight="1">
      <c r="A73" s="110"/>
      <c r="B73" s="110"/>
      <c r="C73" s="110"/>
      <c r="D73" s="5"/>
      <c r="E73" s="5"/>
      <c r="F73" s="5"/>
      <c r="G73" s="5"/>
      <c r="H73" s="5"/>
      <c r="I73" s="5"/>
      <c r="J73" s="5"/>
      <c r="K73" s="5"/>
      <c r="L73" s="5"/>
      <c r="M73" s="5"/>
      <c r="N73" s="5"/>
      <c r="O73" s="5"/>
    </row>
    <row r="74" ht="17.25" customHeight="1">
      <c r="A74" s="110"/>
      <c r="B74" s="110"/>
      <c r="C74" s="110"/>
      <c r="D74" s="5"/>
      <c r="E74" s="5"/>
      <c r="F74" s="5"/>
      <c r="G74" s="5"/>
      <c r="H74" s="5"/>
      <c r="I74" s="5"/>
      <c r="J74" s="5"/>
      <c r="K74" s="5"/>
      <c r="L74" s="5"/>
      <c r="M74" s="5"/>
      <c r="N74" s="5"/>
      <c r="O74" s="5"/>
    </row>
    <row r="75" ht="17.25" customHeight="1">
      <c r="A75" s="110"/>
      <c r="B75" s="110"/>
      <c r="C75" s="110"/>
      <c r="D75" s="5"/>
      <c r="E75" s="5"/>
      <c r="F75" s="5"/>
      <c r="G75" s="5"/>
      <c r="H75" s="5"/>
      <c r="I75" s="5"/>
      <c r="J75" s="5"/>
      <c r="K75" s="5"/>
      <c r="L75" s="5"/>
      <c r="M75" s="5"/>
      <c r="N75" s="5"/>
      <c r="O75" s="5"/>
    </row>
    <row r="76" ht="17.25" customHeight="1">
      <c r="A76" s="110"/>
      <c r="B76" s="110"/>
      <c r="C76" s="110"/>
      <c r="D76" s="5"/>
      <c r="E76" s="5"/>
      <c r="F76" s="5"/>
      <c r="G76" s="5"/>
      <c r="H76" s="5"/>
      <c r="I76" s="5"/>
      <c r="J76" s="5"/>
      <c r="K76" s="5"/>
      <c r="L76" s="5"/>
      <c r="M76" s="5"/>
      <c r="N76" s="5"/>
      <c r="O76" s="5"/>
    </row>
    <row r="77" ht="17.25" customHeight="1">
      <c r="A77" s="110"/>
      <c r="B77" s="110"/>
      <c r="C77" s="110"/>
      <c r="D77" s="5"/>
      <c r="E77" s="5"/>
      <c r="F77" s="5"/>
      <c r="G77" s="5"/>
      <c r="H77" s="5"/>
      <c r="I77" s="5"/>
      <c r="J77" s="5"/>
      <c r="K77" s="5"/>
      <c r="L77" s="5"/>
      <c r="M77" s="5"/>
      <c r="N77" s="5"/>
      <c r="O77" s="5"/>
    </row>
    <row r="78" ht="17.25" customHeight="1">
      <c r="A78" s="110"/>
      <c r="B78" s="110"/>
      <c r="C78" s="110"/>
      <c r="D78" s="5"/>
      <c r="E78" s="5"/>
      <c r="F78" s="5"/>
      <c r="G78" s="5"/>
      <c r="H78" s="5"/>
      <c r="I78" s="5"/>
      <c r="J78" s="5"/>
      <c r="K78" s="5"/>
      <c r="L78" s="5"/>
      <c r="M78" s="5"/>
      <c r="N78" s="5"/>
      <c r="O78" s="5"/>
    </row>
    <row r="79" ht="17.25" customHeight="1">
      <c r="A79" s="110"/>
      <c r="B79" s="110"/>
      <c r="C79" s="110"/>
      <c r="D79" s="5"/>
      <c r="E79" s="5"/>
      <c r="F79" s="5"/>
      <c r="G79" s="5"/>
      <c r="H79" s="5"/>
      <c r="I79" s="5"/>
      <c r="J79" s="5"/>
      <c r="K79" s="5"/>
      <c r="L79" s="5"/>
      <c r="M79" s="5"/>
      <c r="N79" s="5"/>
      <c r="O79" s="5"/>
    </row>
    <row r="80" ht="17.25" customHeight="1">
      <c r="A80" s="110"/>
      <c r="B80" s="110"/>
      <c r="C80" s="110"/>
      <c r="D80" s="5"/>
      <c r="E80" s="5"/>
      <c r="F80" s="5"/>
      <c r="G80" s="5"/>
      <c r="H80" s="5"/>
      <c r="I80" s="5"/>
      <c r="J80" s="5"/>
      <c r="K80" s="5"/>
      <c r="L80" s="5"/>
      <c r="M80" s="5"/>
      <c r="N80" s="5"/>
      <c r="O80" s="5"/>
    </row>
    <row r="81" ht="17.25" customHeight="1">
      <c r="A81" s="110"/>
      <c r="B81" s="110"/>
      <c r="C81" s="110"/>
      <c r="D81" s="5"/>
      <c r="E81" s="5"/>
      <c r="F81" s="5"/>
      <c r="G81" s="5"/>
      <c r="H81" s="5"/>
      <c r="I81" s="5"/>
      <c r="J81" s="5"/>
      <c r="K81" s="5"/>
      <c r="L81" s="5"/>
      <c r="M81" s="5"/>
      <c r="N81" s="5"/>
      <c r="O81" s="5"/>
    </row>
    <row r="82" ht="17.25" customHeight="1">
      <c r="A82" s="110"/>
      <c r="B82" s="110"/>
      <c r="C82" s="110"/>
      <c r="D82" s="5"/>
      <c r="E82" s="5"/>
      <c r="F82" s="5"/>
      <c r="G82" s="5"/>
      <c r="H82" s="5"/>
      <c r="I82" s="5"/>
      <c r="J82" s="5"/>
      <c r="K82" s="5"/>
      <c r="L82" s="5"/>
      <c r="M82" s="5"/>
      <c r="N82" s="5"/>
      <c r="O82" s="5"/>
    </row>
    <row r="83" ht="17.25" customHeight="1">
      <c r="A83" s="110"/>
      <c r="B83" s="110"/>
      <c r="C83" s="110"/>
      <c r="D83" s="5"/>
      <c r="E83" s="5"/>
      <c r="F83" s="5"/>
      <c r="G83" s="5"/>
      <c r="H83" s="5"/>
      <c r="I83" s="5"/>
      <c r="J83" s="5"/>
      <c r="K83" s="5"/>
      <c r="L83" s="5"/>
      <c r="M83" s="5"/>
      <c r="N83" s="5"/>
      <c r="O83" s="5"/>
    </row>
    <row r="84" ht="17.25" customHeight="1">
      <c r="A84" s="110"/>
      <c r="B84" s="110"/>
      <c r="C84" s="110"/>
      <c r="D84" s="5"/>
      <c r="E84" s="5"/>
      <c r="F84" s="5"/>
      <c r="G84" s="5"/>
      <c r="H84" s="5"/>
      <c r="I84" s="5"/>
      <c r="J84" s="5"/>
      <c r="K84" s="5"/>
      <c r="L84" s="5"/>
      <c r="M84" s="5"/>
      <c r="N84" s="5"/>
      <c r="O84" s="5"/>
    </row>
    <row r="85" ht="17.25" customHeight="1">
      <c r="A85" s="110"/>
      <c r="B85" s="110"/>
      <c r="C85" s="110"/>
      <c r="D85" s="5"/>
      <c r="E85" s="5"/>
      <c r="F85" s="5"/>
      <c r="G85" s="5"/>
      <c r="H85" s="5"/>
      <c r="I85" s="5"/>
      <c r="J85" s="5"/>
      <c r="K85" s="5"/>
      <c r="L85" s="5"/>
      <c r="M85" s="5"/>
      <c r="N85" s="5"/>
      <c r="O85" s="5"/>
    </row>
    <row r="86" ht="17.25" customHeight="1">
      <c r="A86" s="248" t="str">
        <f>Language!C68</f>
        <v>Evaluador/a 1. Observaciones y recomendaciones:</v>
      </c>
      <c r="B86" s="33"/>
      <c r="C86" s="33"/>
      <c r="D86" s="33"/>
      <c r="E86" s="33"/>
      <c r="F86" s="33"/>
      <c r="G86" s="33"/>
      <c r="H86" s="33"/>
      <c r="I86" s="33"/>
      <c r="J86" s="33"/>
      <c r="K86" s="34"/>
      <c r="L86" s="5"/>
      <c r="M86" s="5"/>
      <c r="N86" s="5"/>
      <c r="O86" s="5"/>
    </row>
    <row r="87" ht="147.0" customHeight="1">
      <c r="A87" s="249" t="str">
        <f>DefenseSummary!A32</f>
        <v/>
      </c>
      <c r="B87" s="138"/>
      <c r="C87" s="138"/>
      <c r="D87" s="138"/>
      <c r="E87" s="138"/>
      <c r="F87" s="138"/>
      <c r="G87" s="138"/>
      <c r="H87" s="138"/>
      <c r="I87" s="138"/>
      <c r="J87" s="138"/>
      <c r="K87" s="139"/>
      <c r="L87" s="5"/>
      <c r="M87" s="5"/>
      <c r="N87" s="5"/>
      <c r="O87" s="5"/>
    </row>
    <row r="88" ht="17.25" customHeight="1">
      <c r="A88" s="248" t="str">
        <f>Language!C69</f>
        <v>Evaluador/a 2. Observaciones y recomendaciones:</v>
      </c>
      <c r="B88" s="33"/>
      <c r="C88" s="33"/>
      <c r="D88" s="33"/>
      <c r="E88" s="33"/>
      <c r="F88" s="33"/>
      <c r="G88" s="33"/>
      <c r="H88" s="33"/>
      <c r="I88" s="33"/>
      <c r="J88" s="33"/>
      <c r="K88" s="34"/>
      <c r="L88" s="5"/>
      <c r="M88" s="5"/>
      <c r="N88" s="5"/>
      <c r="O88" s="5"/>
    </row>
    <row r="89" ht="141.75" customHeight="1">
      <c r="A89" s="249" t="str">
        <f>DefenseSummary!A34</f>
        <v/>
      </c>
      <c r="B89" s="138"/>
      <c r="C89" s="138"/>
      <c r="D89" s="138"/>
      <c r="E89" s="138"/>
      <c r="F89" s="138"/>
      <c r="G89" s="138"/>
      <c r="H89" s="138"/>
      <c r="I89" s="138"/>
      <c r="J89" s="138"/>
      <c r="K89" s="139"/>
      <c r="L89" s="5"/>
      <c r="M89" s="5"/>
      <c r="N89" s="5"/>
      <c r="O89" s="5"/>
    </row>
    <row r="90" ht="17.25" customHeight="1">
      <c r="A90" s="248" t="str">
        <f>Language!C70</f>
        <v>Evaluador/a 3. Observaciones y recomendaciones:</v>
      </c>
      <c r="B90" s="33"/>
      <c r="C90" s="33"/>
      <c r="D90" s="33"/>
      <c r="E90" s="33"/>
      <c r="F90" s="33"/>
      <c r="G90" s="33"/>
      <c r="H90" s="33"/>
      <c r="I90" s="33"/>
      <c r="J90" s="33"/>
      <c r="K90" s="34"/>
      <c r="L90" s="5"/>
      <c r="M90" s="5"/>
      <c r="N90" s="5"/>
      <c r="O90" s="5"/>
    </row>
    <row r="91" ht="137.25" customHeight="1">
      <c r="A91" s="249" t="str">
        <f>DefenseSummary!A36</f>
        <v/>
      </c>
      <c r="B91" s="138"/>
      <c r="C91" s="138"/>
      <c r="D91" s="138"/>
      <c r="E91" s="138"/>
      <c r="F91" s="138"/>
      <c r="G91" s="138"/>
      <c r="H91" s="138"/>
      <c r="I91" s="138"/>
      <c r="J91" s="138"/>
      <c r="K91" s="139"/>
      <c r="L91" s="5"/>
      <c r="M91" s="5"/>
      <c r="N91" s="5"/>
      <c r="O91" s="5"/>
    </row>
    <row r="92" ht="15.75" customHeight="1"/>
    <row r="93" ht="15.75" customHeight="1"/>
    <row r="94" ht="15.75" customHeight="1"/>
    <row r="95" ht="15.75" customHeight="1"/>
    <row r="96" ht="9.0" customHeight="1">
      <c r="A96" s="5"/>
      <c r="B96" s="112"/>
      <c r="C96" s="112"/>
      <c r="D96" s="5"/>
      <c r="E96" s="5"/>
      <c r="F96" s="5"/>
      <c r="G96" s="5"/>
      <c r="H96" s="5"/>
      <c r="I96" s="5"/>
      <c r="J96" s="5"/>
      <c r="K96" s="5"/>
      <c r="L96" s="5"/>
      <c r="M96" s="5"/>
      <c r="N96" s="5"/>
      <c r="O96" s="5"/>
    </row>
    <row r="97" ht="15.75" customHeight="1">
      <c r="A97" s="5"/>
      <c r="B97" s="112"/>
      <c r="C97" s="112"/>
      <c r="D97" s="5"/>
      <c r="E97" s="5"/>
      <c r="F97" s="5"/>
      <c r="G97" s="5"/>
      <c r="H97" s="5"/>
      <c r="I97" s="5"/>
      <c r="J97" s="5"/>
      <c r="K97" s="5"/>
      <c r="L97" s="5"/>
      <c r="M97" s="5"/>
      <c r="N97" s="5"/>
      <c r="O97" s="5"/>
    </row>
    <row r="98" ht="15.75" customHeight="1">
      <c r="A98" s="5"/>
      <c r="B98" s="112"/>
      <c r="C98" s="112"/>
      <c r="D98" s="5"/>
      <c r="E98" s="5"/>
      <c r="F98" s="5"/>
      <c r="G98" s="5"/>
      <c r="H98" s="5"/>
      <c r="I98" s="5"/>
      <c r="J98" s="5"/>
      <c r="K98" s="5"/>
      <c r="L98" s="5"/>
      <c r="M98" s="5"/>
      <c r="N98" s="5"/>
      <c r="O98" s="5"/>
    </row>
    <row r="99" ht="15.75" customHeight="1">
      <c r="A99" s="5"/>
      <c r="B99" s="112"/>
      <c r="C99" s="112"/>
      <c r="D99" s="5"/>
      <c r="E99" s="5"/>
      <c r="F99" s="5"/>
      <c r="G99" s="5"/>
      <c r="H99" s="5"/>
      <c r="I99" s="5"/>
      <c r="J99" s="5"/>
      <c r="K99" s="5"/>
      <c r="L99" s="5"/>
      <c r="M99" s="5"/>
      <c r="N99" s="5"/>
      <c r="O99" s="5"/>
    </row>
    <row r="100" ht="15.75" customHeight="1">
      <c r="A100" s="5"/>
      <c r="B100" s="112"/>
      <c r="C100" s="112"/>
      <c r="D100" s="5"/>
      <c r="E100" s="5"/>
      <c r="F100" s="5"/>
      <c r="G100" s="5"/>
      <c r="H100" s="5"/>
      <c r="I100" s="5"/>
      <c r="J100" s="5"/>
      <c r="K100" s="5"/>
      <c r="L100" s="5"/>
      <c r="M100" s="5"/>
      <c r="N100" s="5"/>
      <c r="O100" s="5"/>
    </row>
    <row r="101" ht="15.75" customHeight="1">
      <c r="A101" s="5"/>
      <c r="B101" s="112"/>
      <c r="C101" s="112"/>
      <c r="D101" s="5"/>
      <c r="E101" s="5"/>
      <c r="F101" s="5"/>
      <c r="G101" s="5"/>
      <c r="H101" s="5"/>
      <c r="I101" s="5"/>
      <c r="J101" s="5"/>
      <c r="K101" s="5"/>
      <c r="L101" s="5"/>
      <c r="M101" s="5"/>
      <c r="N101" s="5"/>
      <c r="O101" s="5"/>
    </row>
    <row r="102" ht="15.75" customHeight="1">
      <c r="A102" s="5"/>
      <c r="B102" s="112"/>
      <c r="C102" s="112"/>
      <c r="D102" s="5"/>
      <c r="E102" s="5"/>
      <c r="F102" s="5"/>
      <c r="G102" s="5"/>
      <c r="H102" s="5"/>
      <c r="I102" s="5"/>
      <c r="J102" s="5"/>
      <c r="K102" s="5"/>
      <c r="L102" s="5"/>
      <c r="M102" s="5"/>
      <c r="N102" s="5"/>
      <c r="O102" s="5"/>
    </row>
    <row r="103" ht="15.75" customHeight="1">
      <c r="A103" s="5"/>
      <c r="B103" s="112"/>
      <c r="C103" s="112"/>
      <c r="D103" s="5"/>
      <c r="E103" s="5"/>
      <c r="F103" s="5"/>
      <c r="G103" s="5"/>
      <c r="H103" s="5"/>
      <c r="I103" s="5"/>
      <c r="J103" s="5"/>
      <c r="K103" s="5"/>
      <c r="L103" s="5"/>
      <c r="M103" s="5"/>
      <c r="N103" s="5"/>
      <c r="O103" s="5"/>
    </row>
    <row r="104" ht="15.75" customHeight="1">
      <c r="A104" s="5"/>
      <c r="B104" s="112"/>
      <c r="C104" s="112"/>
      <c r="D104" s="5"/>
      <c r="E104" s="5"/>
      <c r="F104" s="5"/>
      <c r="G104" s="5"/>
      <c r="H104" s="5"/>
      <c r="I104" s="5"/>
      <c r="J104" s="5"/>
      <c r="K104" s="5"/>
      <c r="L104" s="5"/>
      <c r="M104" s="5"/>
      <c r="N104" s="5"/>
      <c r="O104" s="5"/>
    </row>
    <row r="105" ht="15.75" customHeight="1">
      <c r="A105" s="5"/>
      <c r="B105" s="112"/>
      <c r="C105" s="112"/>
      <c r="D105" s="5"/>
      <c r="E105" s="5"/>
      <c r="F105" s="5"/>
      <c r="G105" s="5"/>
      <c r="H105" s="5"/>
      <c r="I105" s="5"/>
      <c r="J105" s="5"/>
      <c r="K105" s="5"/>
      <c r="L105" s="5"/>
      <c r="M105" s="5"/>
      <c r="N105" s="5"/>
      <c r="O105" s="5"/>
    </row>
    <row r="106" ht="15.75" customHeight="1">
      <c r="A106" s="5"/>
      <c r="B106" s="112"/>
      <c r="C106" s="112"/>
      <c r="D106" s="5"/>
      <c r="E106" s="5"/>
      <c r="F106" s="5"/>
      <c r="G106" s="5"/>
      <c r="H106" s="5"/>
      <c r="I106" s="5"/>
      <c r="J106" s="5"/>
      <c r="K106" s="5"/>
      <c r="L106" s="5"/>
      <c r="M106" s="5"/>
      <c r="N106" s="5"/>
      <c r="O106" s="5"/>
    </row>
    <row r="107" ht="15.75" customHeight="1">
      <c r="A107" s="5"/>
      <c r="B107" s="112"/>
      <c r="C107" s="112"/>
      <c r="D107" s="5"/>
      <c r="E107" s="5"/>
      <c r="F107" s="5"/>
      <c r="G107" s="5"/>
      <c r="H107" s="5"/>
      <c r="I107" s="5"/>
      <c r="J107" s="5"/>
      <c r="K107" s="5"/>
      <c r="L107" s="5"/>
      <c r="M107" s="5"/>
      <c r="N107" s="5"/>
      <c r="O107" s="5"/>
    </row>
    <row r="108" ht="15.75" customHeight="1">
      <c r="A108" s="5"/>
      <c r="B108" s="112"/>
      <c r="C108" s="112"/>
      <c r="D108" s="5"/>
      <c r="E108" s="5"/>
      <c r="F108" s="5"/>
      <c r="G108" s="5"/>
      <c r="H108" s="5"/>
      <c r="I108" s="5"/>
      <c r="J108" s="5"/>
      <c r="K108" s="5"/>
      <c r="L108" s="5"/>
      <c r="M108" s="5"/>
      <c r="N108" s="5"/>
      <c r="O108" s="5"/>
    </row>
    <row r="109" ht="15.75" customHeight="1">
      <c r="A109" s="5"/>
      <c r="B109" s="112"/>
      <c r="C109" s="112"/>
      <c r="D109" s="5"/>
      <c r="E109" s="5"/>
      <c r="F109" s="5"/>
      <c r="G109" s="5"/>
      <c r="H109" s="5"/>
      <c r="I109" s="5"/>
      <c r="J109" s="5"/>
      <c r="K109" s="5"/>
      <c r="L109" s="5"/>
      <c r="M109" s="5"/>
      <c r="N109" s="5"/>
      <c r="O109" s="5"/>
    </row>
    <row r="110" ht="15.75" customHeight="1">
      <c r="A110" s="5"/>
      <c r="B110" s="112"/>
      <c r="C110" s="112"/>
      <c r="D110" s="5"/>
      <c r="E110" s="5"/>
      <c r="F110" s="5"/>
      <c r="G110" s="5"/>
      <c r="H110" s="5"/>
      <c r="I110" s="5"/>
      <c r="J110" s="5"/>
      <c r="K110" s="5"/>
      <c r="L110" s="5"/>
      <c r="M110" s="5"/>
      <c r="N110" s="5"/>
      <c r="O110" s="5"/>
    </row>
    <row r="111" ht="15.75" customHeight="1">
      <c r="A111" s="5"/>
      <c r="B111" s="112"/>
      <c r="C111" s="112"/>
      <c r="D111" s="5"/>
      <c r="E111" s="5"/>
      <c r="F111" s="5"/>
      <c r="G111" s="5"/>
      <c r="H111" s="5"/>
      <c r="I111" s="5"/>
      <c r="J111" s="5"/>
      <c r="K111" s="5"/>
      <c r="L111" s="5"/>
      <c r="M111" s="5"/>
      <c r="N111" s="5"/>
      <c r="O111" s="5"/>
    </row>
    <row r="112" ht="15.75" customHeight="1">
      <c r="A112" s="5"/>
      <c r="B112" s="112"/>
      <c r="C112" s="112"/>
      <c r="D112" s="5"/>
      <c r="E112" s="5"/>
      <c r="F112" s="5"/>
      <c r="G112" s="5"/>
      <c r="H112" s="5"/>
      <c r="I112" s="5"/>
      <c r="J112" s="5"/>
      <c r="K112" s="5"/>
      <c r="L112" s="5"/>
      <c r="M112" s="5"/>
      <c r="N112" s="5"/>
      <c r="O112" s="5"/>
    </row>
    <row r="113" ht="15.75" customHeight="1">
      <c r="A113" s="5"/>
      <c r="B113" s="112"/>
      <c r="C113" s="112"/>
      <c r="D113" s="5"/>
      <c r="E113" s="5"/>
      <c r="F113" s="5"/>
      <c r="G113" s="5"/>
      <c r="H113" s="5"/>
      <c r="I113" s="5"/>
      <c r="J113" s="5"/>
      <c r="K113" s="5"/>
      <c r="L113" s="5"/>
      <c r="M113" s="5"/>
      <c r="N113" s="5"/>
      <c r="O113" s="5"/>
    </row>
    <row r="114" ht="15.75" customHeight="1">
      <c r="A114" s="5"/>
      <c r="B114" s="112"/>
      <c r="C114" s="112"/>
      <c r="D114" s="5"/>
      <c r="E114" s="5"/>
      <c r="F114" s="5"/>
      <c r="G114" s="5"/>
      <c r="H114" s="5"/>
      <c r="I114" s="5"/>
      <c r="J114" s="5"/>
      <c r="K114" s="5"/>
      <c r="L114" s="5"/>
      <c r="M114" s="5"/>
      <c r="N114" s="5"/>
      <c r="O114" s="5"/>
    </row>
    <row r="115" ht="15.75" customHeight="1">
      <c r="A115" s="5"/>
      <c r="B115" s="112"/>
      <c r="C115" s="112"/>
      <c r="D115" s="5"/>
      <c r="E115" s="5"/>
      <c r="F115" s="5"/>
      <c r="G115" s="5"/>
      <c r="H115" s="5"/>
      <c r="I115" s="5"/>
      <c r="J115" s="5"/>
      <c r="K115" s="5"/>
      <c r="L115" s="5"/>
      <c r="M115" s="5"/>
      <c r="N115" s="5"/>
      <c r="O115" s="5"/>
    </row>
    <row r="116" ht="15.75" customHeight="1">
      <c r="A116" s="5"/>
      <c r="B116" s="112"/>
      <c r="C116" s="112"/>
      <c r="D116" s="5"/>
      <c r="E116" s="5"/>
      <c r="F116" s="5"/>
      <c r="G116" s="5"/>
      <c r="H116" s="5"/>
      <c r="I116" s="5"/>
      <c r="J116" s="5"/>
      <c r="K116" s="5"/>
      <c r="L116" s="5"/>
      <c r="M116" s="5"/>
      <c r="N116" s="5"/>
      <c r="O116" s="5"/>
    </row>
    <row r="117" ht="15.75" customHeight="1">
      <c r="A117" s="5"/>
      <c r="B117" s="112"/>
      <c r="C117" s="112"/>
      <c r="D117" s="5"/>
      <c r="E117" s="5"/>
      <c r="F117" s="5"/>
      <c r="G117" s="5"/>
      <c r="H117" s="5"/>
      <c r="I117" s="5"/>
      <c r="J117" s="5"/>
      <c r="K117" s="5"/>
      <c r="L117" s="5"/>
      <c r="M117" s="5"/>
      <c r="N117" s="5"/>
      <c r="O117" s="5"/>
    </row>
    <row r="118" ht="15.75" customHeight="1">
      <c r="A118" s="5"/>
      <c r="B118" s="112"/>
      <c r="C118" s="112"/>
      <c r="D118" s="5"/>
      <c r="E118" s="5"/>
      <c r="F118" s="5"/>
      <c r="G118" s="5"/>
      <c r="H118" s="5"/>
      <c r="I118" s="5"/>
      <c r="J118" s="5"/>
      <c r="K118" s="5"/>
      <c r="L118" s="5"/>
      <c r="M118" s="5"/>
      <c r="N118" s="5"/>
      <c r="O118" s="5"/>
    </row>
    <row r="119" ht="15.75" customHeight="1">
      <c r="A119" s="5"/>
      <c r="B119" s="112"/>
      <c r="C119" s="112"/>
      <c r="D119" s="5"/>
      <c r="E119" s="5"/>
      <c r="F119" s="5"/>
      <c r="G119" s="5"/>
      <c r="H119" s="5"/>
      <c r="I119" s="5"/>
      <c r="J119" s="5"/>
      <c r="K119" s="5"/>
      <c r="L119" s="5"/>
      <c r="M119" s="5"/>
      <c r="N119" s="5"/>
      <c r="O119" s="5"/>
    </row>
    <row r="120" ht="15.75" customHeight="1">
      <c r="A120" s="5"/>
      <c r="B120" s="112"/>
      <c r="C120" s="112"/>
      <c r="D120" s="5"/>
      <c r="E120" s="5"/>
      <c r="F120" s="5"/>
      <c r="G120" s="5"/>
      <c r="H120" s="5"/>
      <c r="I120" s="5"/>
      <c r="J120" s="5"/>
      <c r="K120" s="5"/>
      <c r="L120" s="5"/>
      <c r="M120" s="5"/>
      <c r="N120" s="5"/>
      <c r="O120" s="5"/>
    </row>
    <row r="121" ht="15.75" customHeight="1">
      <c r="A121" s="5"/>
      <c r="B121" s="112"/>
      <c r="C121" s="112"/>
      <c r="D121" s="5"/>
      <c r="E121" s="5"/>
      <c r="F121" s="5"/>
      <c r="G121" s="5"/>
      <c r="H121" s="5"/>
      <c r="I121" s="5"/>
      <c r="J121" s="5"/>
      <c r="K121" s="5"/>
      <c r="L121" s="5"/>
      <c r="M121" s="5"/>
      <c r="N121" s="5"/>
      <c r="O121" s="5"/>
    </row>
    <row r="122" ht="15.75" customHeight="1">
      <c r="A122" s="5"/>
      <c r="B122" s="112"/>
      <c r="C122" s="112"/>
      <c r="D122" s="5"/>
      <c r="E122" s="5"/>
      <c r="F122" s="5"/>
      <c r="G122" s="5"/>
      <c r="H122" s="5"/>
      <c r="I122" s="5"/>
      <c r="J122" s="5"/>
      <c r="K122" s="5"/>
      <c r="L122" s="5"/>
      <c r="M122" s="5"/>
      <c r="N122" s="5"/>
      <c r="O122" s="5"/>
    </row>
    <row r="123" ht="15.75" customHeight="1">
      <c r="A123" s="5"/>
      <c r="B123" s="112"/>
      <c r="C123" s="112"/>
      <c r="D123" s="5"/>
      <c r="E123" s="5"/>
      <c r="F123" s="5"/>
      <c r="G123" s="5"/>
      <c r="H123" s="5"/>
      <c r="I123" s="5"/>
      <c r="J123" s="5"/>
      <c r="K123" s="5"/>
      <c r="L123" s="5"/>
      <c r="M123" s="5"/>
      <c r="N123" s="5"/>
      <c r="O123" s="5"/>
    </row>
    <row r="124" ht="15.75" customHeight="1">
      <c r="A124" s="5"/>
      <c r="B124" s="112"/>
      <c r="C124" s="112"/>
      <c r="D124" s="5"/>
      <c r="E124" s="5"/>
      <c r="F124" s="5"/>
      <c r="G124" s="5"/>
      <c r="H124" s="5"/>
      <c r="I124" s="5"/>
      <c r="J124" s="5"/>
      <c r="K124" s="5"/>
      <c r="L124" s="5"/>
      <c r="M124" s="5"/>
      <c r="N124" s="5"/>
      <c r="O124" s="5"/>
    </row>
    <row r="125" ht="15.75" customHeight="1">
      <c r="A125" s="5"/>
      <c r="B125" s="112"/>
      <c r="C125" s="112"/>
      <c r="D125" s="5"/>
      <c r="E125" s="5"/>
      <c r="F125" s="5"/>
      <c r="G125" s="5"/>
      <c r="H125" s="5"/>
      <c r="I125" s="5"/>
      <c r="J125" s="5"/>
      <c r="K125" s="5"/>
      <c r="L125" s="5"/>
      <c r="M125" s="5"/>
      <c r="N125" s="5"/>
      <c r="O125" s="5"/>
    </row>
    <row r="126" ht="15.75" customHeight="1">
      <c r="A126" s="5"/>
      <c r="B126" s="112"/>
      <c r="C126" s="112"/>
      <c r="D126" s="5"/>
      <c r="E126" s="5"/>
      <c r="F126" s="5"/>
      <c r="G126" s="5"/>
      <c r="H126" s="5"/>
      <c r="I126" s="5"/>
      <c r="J126" s="5"/>
      <c r="K126" s="5"/>
      <c r="L126" s="5"/>
      <c r="M126" s="5"/>
      <c r="N126" s="5"/>
      <c r="O126" s="5"/>
    </row>
    <row r="127" ht="15.75" customHeight="1">
      <c r="A127" s="5"/>
      <c r="B127" s="112"/>
      <c r="C127" s="112"/>
      <c r="D127" s="5"/>
      <c r="E127" s="5"/>
      <c r="F127" s="5"/>
      <c r="G127" s="5"/>
      <c r="H127" s="5"/>
      <c r="I127" s="5"/>
      <c r="J127" s="5"/>
      <c r="K127" s="5"/>
      <c r="L127" s="5"/>
      <c r="M127" s="5"/>
      <c r="N127" s="5"/>
      <c r="O127" s="5"/>
    </row>
    <row r="128" ht="15.75" customHeight="1">
      <c r="A128" s="5"/>
      <c r="B128" s="112"/>
      <c r="C128" s="112"/>
      <c r="D128" s="5"/>
      <c r="E128" s="5"/>
      <c r="F128" s="5"/>
      <c r="G128" s="5"/>
      <c r="H128" s="5"/>
      <c r="I128" s="5"/>
      <c r="J128" s="5"/>
      <c r="K128" s="5"/>
      <c r="L128" s="5"/>
      <c r="M128" s="5"/>
      <c r="N128" s="5"/>
      <c r="O128" s="5"/>
    </row>
    <row r="129" ht="15.75" customHeight="1">
      <c r="A129" s="5"/>
      <c r="B129" s="112"/>
      <c r="C129" s="112"/>
      <c r="D129" s="5"/>
      <c r="E129" s="5"/>
      <c r="F129" s="5"/>
      <c r="G129" s="5"/>
      <c r="H129" s="5"/>
      <c r="I129" s="5"/>
      <c r="J129" s="5"/>
      <c r="K129" s="5"/>
      <c r="L129" s="5"/>
      <c r="M129" s="5"/>
      <c r="N129" s="5"/>
      <c r="O129" s="5"/>
    </row>
    <row r="130" ht="15.75" customHeight="1">
      <c r="A130" s="5"/>
      <c r="B130" s="112"/>
      <c r="C130" s="112"/>
      <c r="D130" s="5"/>
      <c r="E130" s="5"/>
      <c r="F130" s="5"/>
      <c r="G130" s="5"/>
      <c r="H130" s="5"/>
      <c r="I130" s="5"/>
      <c r="J130" s="5"/>
      <c r="K130" s="5"/>
      <c r="L130" s="5"/>
      <c r="M130" s="5"/>
      <c r="N130" s="5"/>
      <c r="O130" s="5"/>
    </row>
    <row r="131" ht="15.75" customHeight="1">
      <c r="A131" s="5"/>
      <c r="B131" s="112"/>
      <c r="C131" s="112"/>
      <c r="D131" s="5"/>
      <c r="E131" s="5"/>
      <c r="F131" s="5"/>
      <c r="G131" s="5"/>
      <c r="H131" s="5"/>
      <c r="I131" s="5"/>
      <c r="J131" s="5"/>
      <c r="K131" s="5"/>
      <c r="L131" s="5"/>
      <c r="M131" s="5"/>
      <c r="N131" s="5"/>
      <c r="O131" s="5"/>
    </row>
    <row r="132" ht="15.75" customHeight="1">
      <c r="A132" s="5"/>
      <c r="B132" s="112"/>
      <c r="C132" s="112"/>
      <c r="D132" s="5"/>
      <c r="E132" s="5"/>
      <c r="F132" s="5"/>
      <c r="G132" s="5"/>
      <c r="H132" s="5"/>
      <c r="I132" s="5"/>
      <c r="J132" s="5"/>
      <c r="K132" s="5"/>
      <c r="L132" s="5"/>
      <c r="M132" s="5"/>
      <c r="N132" s="5"/>
      <c r="O132" s="5"/>
    </row>
    <row r="133" ht="15.75" customHeight="1">
      <c r="A133" s="5"/>
      <c r="B133" s="112"/>
      <c r="C133" s="112"/>
      <c r="D133" s="5"/>
      <c r="E133" s="5"/>
      <c r="F133" s="5"/>
      <c r="G133" s="5"/>
      <c r="H133" s="5"/>
      <c r="I133" s="5"/>
      <c r="J133" s="5"/>
      <c r="K133" s="5"/>
      <c r="L133" s="5"/>
      <c r="M133" s="5"/>
      <c r="N133" s="5"/>
      <c r="O133" s="5"/>
    </row>
    <row r="134" ht="15.75" customHeight="1">
      <c r="A134" s="5"/>
      <c r="B134" s="112"/>
      <c r="C134" s="112"/>
      <c r="D134" s="5"/>
      <c r="E134" s="5"/>
      <c r="F134" s="5"/>
      <c r="G134" s="5"/>
      <c r="H134" s="5"/>
      <c r="I134" s="5"/>
      <c r="J134" s="5"/>
      <c r="K134" s="5"/>
      <c r="L134" s="5"/>
      <c r="M134" s="5"/>
      <c r="N134" s="5"/>
      <c r="O134" s="5"/>
    </row>
    <row r="135" ht="15.75" customHeight="1">
      <c r="A135" s="5"/>
      <c r="B135" s="112"/>
      <c r="C135" s="112"/>
      <c r="D135" s="5"/>
      <c r="E135" s="5"/>
      <c r="F135" s="5"/>
      <c r="G135" s="5"/>
      <c r="H135" s="5"/>
      <c r="I135" s="5"/>
      <c r="J135" s="5"/>
      <c r="K135" s="5"/>
      <c r="L135" s="5"/>
      <c r="M135" s="5"/>
      <c r="N135" s="5"/>
      <c r="O135" s="5"/>
    </row>
    <row r="136" ht="15.75" customHeight="1">
      <c r="A136" s="5"/>
      <c r="B136" s="112"/>
      <c r="C136" s="112"/>
      <c r="D136" s="5"/>
      <c r="E136" s="5"/>
      <c r="F136" s="5"/>
      <c r="G136" s="5"/>
      <c r="H136" s="5"/>
      <c r="I136" s="5"/>
      <c r="J136" s="5"/>
      <c r="K136" s="5"/>
      <c r="L136" s="5"/>
      <c r="M136" s="5"/>
      <c r="N136" s="5"/>
      <c r="O136" s="5"/>
    </row>
    <row r="137" ht="15.75" customHeight="1">
      <c r="A137" s="5"/>
      <c r="B137" s="112"/>
      <c r="C137" s="112"/>
      <c r="D137" s="5"/>
      <c r="E137" s="5"/>
      <c r="F137" s="5"/>
      <c r="G137" s="5"/>
      <c r="H137" s="5"/>
      <c r="I137" s="5"/>
      <c r="J137" s="5"/>
      <c r="K137" s="5"/>
      <c r="L137" s="5"/>
      <c r="M137" s="5"/>
      <c r="N137" s="5"/>
      <c r="O137" s="5"/>
    </row>
    <row r="138" ht="15.75" customHeight="1">
      <c r="A138" s="5"/>
      <c r="B138" s="112"/>
      <c r="C138" s="112"/>
      <c r="D138" s="5"/>
      <c r="E138" s="5"/>
      <c r="F138" s="5"/>
      <c r="G138" s="5"/>
      <c r="H138" s="5"/>
      <c r="I138" s="5"/>
      <c r="J138" s="5"/>
      <c r="K138" s="5"/>
      <c r="L138" s="5"/>
      <c r="M138" s="5"/>
      <c r="N138" s="5"/>
      <c r="O138" s="5"/>
    </row>
    <row r="139" ht="15.75" customHeight="1">
      <c r="A139" s="5"/>
      <c r="B139" s="112"/>
      <c r="C139" s="112"/>
      <c r="D139" s="5"/>
      <c r="E139" s="5"/>
      <c r="F139" s="5"/>
      <c r="G139" s="5"/>
      <c r="H139" s="5"/>
      <c r="I139" s="5"/>
      <c r="J139" s="5"/>
      <c r="K139" s="5"/>
      <c r="L139" s="5"/>
      <c r="M139" s="5"/>
      <c r="N139" s="5"/>
      <c r="O139" s="5"/>
    </row>
    <row r="140" ht="15.75" customHeight="1">
      <c r="A140" s="5"/>
      <c r="B140" s="112"/>
      <c r="C140" s="112"/>
      <c r="D140" s="5"/>
      <c r="E140" s="5"/>
      <c r="F140" s="5"/>
      <c r="G140" s="5"/>
      <c r="H140" s="5"/>
      <c r="I140" s="5"/>
      <c r="J140" s="5"/>
      <c r="K140" s="5"/>
      <c r="L140" s="5"/>
      <c r="M140" s="5"/>
      <c r="N140" s="5"/>
      <c r="O140" s="5"/>
    </row>
    <row r="141" ht="15.75" customHeight="1">
      <c r="A141" s="5"/>
      <c r="B141" s="112"/>
      <c r="C141" s="112"/>
      <c r="D141" s="5"/>
      <c r="E141" s="5"/>
      <c r="F141" s="5"/>
      <c r="G141" s="5"/>
      <c r="H141" s="5"/>
      <c r="I141" s="5"/>
      <c r="J141" s="5"/>
      <c r="K141" s="5"/>
      <c r="L141" s="5"/>
      <c r="M141" s="5"/>
      <c r="N141" s="5"/>
      <c r="O141" s="5"/>
    </row>
    <row r="142" ht="15.75" customHeight="1">
      <c r="A142" s="5"/>
      <c r="B142" s="112"/>
      <c r="C142" s="112"/>
      <c r="D142" s="5"/>
      <c r="E142" s="5"/>
      <c r="F142" s="5"/>
      <c r="G142" s="5"/>
      <c r="H142" s="5"/>
      <c r="I142" s="5"/>
      <c r="J142" s="5"/>
      <c r="K142" s="5"/>
      <c r="L142" s="5"/>
      <c r="M142" s="5"/>
      <c r="N142" s="5"/>
      <c r="O142" s="5"/>
    </row>
    <row r="143" ht="15.75" customHeight="1">
      <c r="A143" s="5"/>
      <c r="B143" s="112"/>
      <c r="C143" s="112"/>
      <c r="D143" s="5"/>
      <c r="E143" s="5"/>
      <c r="F143" s="5"/>
      <c r="G143" s="5"/>
      <c r="H143" s="5"/>
      <c r="I143" s="5"/>
      <c r="J143" s="5"/>
      <c r="K143" s="5"/>
      <c r="L143" s="5"/>
      <c r="M143" s="5"/>
      <c r="N143" s="5"/>
      <c r="O143" s="5"/>
    </row>
    <row r="144" ht="15.75" customHeight="1">
      <c r="A144" s="5"/>
      <c r="B144" s="112"/>
      <c r="C144" s="112"/>
      <c r="D144" s="5"/>
      <c r="E144" s="5"/>
      <c r="F144" s="5"/>
      <c r="G144" s="5"/>
      <c r="H144" s="5"/>
      <c r="I144" s="5"/>
      <c r="J144" s="5"/>
      <c r="K144" s="5"/>
      <c r="L144" s="5"/>
      <c r="M144" s="5"/>
      <c r="N144" s="5"/>
      <c r="O144" s="5"/>
    </row>
    <row r="145" ht="15.75" customHeight="1">
      <c r="A145" s="5"/>
      <c r="B145" s="112"/>
      <c r="C145" s="112"/>
      <c r="D145" s="5"/>
      <c r="E145" s="5"/>
      <c r="F145" s="5"/>
      <c r="G145" s="5"/>
      <c r="H145" s="5"/>
      <c r="I145" s="5"/>
      <c r="J145" s="5"/>
      <c r="K145" s="5"/>
      <c r="L145" s="5"/>
      <c r="M145" s="5"/>
      <c r="N145" s="5"/>
      <c r="O145" s="5"/>
    </row>
    <row r="146" ht="15.75" customHeight="1">
      <c r="A146" s="5"/>
      <c r="B146" s="112"/>
      <c r="C146" s="112"/>
      <c r="D146" s="5"/>
      <c r="E146" s="5"/>
      <c r="F146" s="5"/>
      <c r="G146" s="5"/>
      <c r="H146" s="5"/>
      <c r="I146" s="5"/>
      <c r="J146" s="5"/>
      <c r="K146" s="5"/>
      <c r="L146" s="5"/>
      <c r="M146" s="5"/>
      <c r="N146" s="5"/>
      <c r="O146" s="5"/>
    </row>
    <row r="147" ht="15.75" customHeight="1">
      <c r="A147" s="5"/>
      <c r="B147" s="112"/>
      <c r="C147" s="112"/>
      <c r="D147" s="5"/>
      <c r="E147" s="5"/>
      <c r="F147" s="5"/>
      <c r="G147" s="5"/>
      <c r="H147" s="5"/>
      <c r="I147" s="5"/>
      <c r="J147" s="5"/>
      <c r="K147" s="5"/>
      <c r="L147" s="5"/>
      <c r="M147" s="5"/>
      <c r="N147" s="5"/>
      <c r="O147" s="5"/>
    </row>
    <row r="148" ht="15.75" customHeight="1">
      <c r="A148" s="5"/>
      <c r="B148" s="112"/>
      <c r="C148" s="112"/>
      <c r="D148" s="5"/>
      <c r="E148" s="5"/>
      <c r="F148" s="5"/>
      <c r="G148" s="5"/>
      <c r="H148" s="5"/>
      <c r="I148" s="5"/>
      <c r="J148" s="5"/>
      <c r="K148" s="5"/>
      <c r="L148" s="5"/>
      <c r="M148" s="5"/>
      <c r="N148" s="5"/>
      <c r="O148" s="5"/>
    </row>
    <row r="149" ht="15.75" customHeight="1">
      <c r="A149" s="5"/>
      <c r="B149" s="112"/>
      <c r="C149" s="112"/>
      <c r="D149" s="5"/>
      <c r="E149" s="5"/>
      <c r="F149" s="5"/>
      <c r="G149" s="5"/>
      <c r="H149" s="5"/>
      <c r="I149" s="5"/>
      <c r="J149" s="5"/>
      <c r="K149" s="5"/>
      <c r="L149" s="5"/>
      <c r="M149" s="5"/>
      <c r="N149" s="5"/>
      <c r="O149" s="5"/>
    </row>
    <row r="150" ht="15.75" customHeight="1">
      <c r="A150" s="5"/>
      <c r="B150" s="112"/>
      <c r="C150" s="112"/>
      <c r="D150" s="5"/>
      <c r="E150" s="5"/>
      <c r="F150" s="5"/>
      <c r="G150" s="5"/>
      <c r="H150" s="5"/>
      <c r="I150" s="5"/>
      <c r="J150" s="5"/>
      <c r="K150" s="5"/>
      <c r="L150" s="5"/>
      <c r="M150" s="5"/>
      <c r="N150" s="5"/>
      <c r="O150" s="5"/>
    </row>
    <row r="151" ht="15.75" customHeight="1">
      <c r="A151" s="5"/>
      <c r="B151" s="112"/>
      <c r="C151" s="112"/>
      <c r="D151" s="5"/>
      <c r="E151" s="5"/>
      <c r="F151" s="5"/>
      <c r="G151" s="5"/>
      <c r="H151" s="5"/>
      <c r="I151" s="5"/>
      <c r="J151" s="5"/>
      <c r="K151" s="5"/>
      <c r="L151" s="5"/>
      <c r="M151" s="5"/>
      <c r="N151" s="5"/>
      <c r="O151" s="5"/>
    </row>
    <row r="152" ht="15.75" customHeight="1">
      <c r="A152" s="5"/>
      <c r="B152" s="112"/>
      <c r="C152" s="112"/>
      <c r="D152" s="5"/>
      <c r="E152" s="5"/>
      <c r="F152" s="5"/>
      <c r="G152" s="5"/>
      <c r="H152" s="5"/>
      <c r="I152" s="5"/>
      <c r="J152" s="5"/>
      <c r="K152" s="5"/>
      <c r="L152" s="5"/>
      <c r="M152" s="5"/>
      <c r="N152" s="5"/>
      <c r="O152" s="5"/>
    </row>
    <row r="153" ht="15.75" customHeight="1">
      <c r="A153" s="5"/>
      <c r="B153" s="112"/>
      <c r="C153" s="112"/>
      <c r="D153" s="5"/>
      <c r="E153" s="5"/>
      <c r="F153" s="5"/>
      <c r="G153" s="5"/>
      <c r="H153" s="5"/>
      <c r="I153" s="5"/>
      <c r="J153" s="5"/>
      <c r="K153" s="5"/>
      <c r="L153" s="5"/>
      <c r="M153" s="5"/>
      <c r="N153" s="5"/>
      <c r="O153" s="5"/>
    </row>
    <row r="154" ht="15.75" customHeight="1">
      <c r="A154" s="5"/>
      <c r="B154" s="112"/>
      <c r="C154" s="112"/>
      <c r="D154" s="5"/>
      <c r="E154" s="5"/>
      <c r="F154" s="5"/>
      <c r="G154" s="5"/>
      <c r="H154" s="5"/>
      <c r="I154" s="5"/>
      <c r="J154" s="5"/>
      <c r="K154" s="5"/>
      <c r="L154" s="5"/>
      <c r="M154" s="5"/>
      <c r="N154" s="5"/>
      <c r="O154" s="5"/>
    </row>
    <row r="155" ht="15.75" customHeight="1">
      <c r="A155" s="5"/>
      <c r="B155" s="112"/>
      <c r="C155" s="112"/>
      <c r="D155" s="5"/>
      <c r="E155" s="5"/>
      <c r="F155" s="5"/>
      <c r="G155" s="5"/>
      <c r="H155" s="5"/>
      <c r="I155" s="5"/>
      <c r="J155" s="5"/>
      <c r="K155" s="5"/>
      <c r="L155" s="5"/>
      <c r="M155" s="5"/>
      <c r="N155" s="5"/>
      <c r="O155" s="5"/>
    </row>
    <row r="156" ht="15.75" customHeight="1">
      <c r="A156" s="5"/>
      <c r="B156" s="112"/>
      <c r="C156" s="112"/>
      <c r="D156" s="5"/>
      <c r="E156" s="5"/>
      <c r="F156" s="5"/>
      <c r="G156" s="5"/>
      <c r="H156" s="5"/>
      <c r="I156" s="5"/>
      <c r="J156" s="5"/>
      <c r="K156" s="5"/>
      <c r="L156" s="5"/>
      <c r="M156" s="5"/>
      <c r="N156" s="5"/>
      <c r="O156" s="5"/>
    </row>
    <row r="157" ht="15.75" customHeight="1">
      <c r="A157" s="5"/>
      <c r="B157" s="112"/>
      <c r="C157" s="112"/>
      <c r="D157" s="5"/>
      <c r="E157" s="5"/>
      <c r="F157" s="5"/>
      <c r="G157" s="5"/>
      <c r="H157" s="5"/>
      <c r="I157" s="5"/>
      <c r="J157" s="5"/>
      <c r="K157" s="5"/>
      <c r="L157" s="5"/>
      <c r="M157" s="5"/>
      <c r="N157" s="5"/>
      <c r="O157" s="5"/>
    </row>
    <row r="158" ht="15.75" customHeight="1">
      <c r="A158" s="5"/>
      <c r="B158" s="112"/>
      <c r="C158" s="112"/>
      <c r="D158" s="5"/>
      <c r="E158" s="5"/>
      <c r="F158" s="5"/>
      <c r="G158" s="5"/>
      <c r="H158" s="5"/>
      <c r="I158" s="5"/>
      <c r="J158" s="5"/>
      <c r="K158" s="5"/>
      <c r="L158" s="5"/>
      <c r="M158" s="5"/>
      <c r="N158" s="5"/>
      <c r="O158" s="5"/>
    </row>
    <row r="159" ht="15.75" customHeight="1">
      <c r="A159" s="5"/>
      <c r="B159" s="112"/>
      <c r="C159" s="112"/>
      <c r="D159" s="5"/>
      <c r="E159" s="5"/>
      <c r="F159" s="5"/>
      <c r="G159" s="5"/>
      <c r="H159" s="5"/>
      <c r="I159" s="5"/>
      <c r="J159" s="5"/>
      <c r="K159" s="5"/>
      <c r="L159" s="5"/>
      <c r="M159" s="5"/>
      <c r="N159" s="5"/>
      <c r="O159" s="5"/>
    </row>
    <row r="160" ht="15.75" customHeight="1">
      <c r="A160" s="5"/>
      <c r="B160" s="112"/>
      <c r="C160" s="112"/>
      <c r="D160" s="5"/>
      <c r="E160" s="5"/>
      <c r="F160" s="5"/>
      <c r="G160" s="5"/>
      <c r="H160" s="5"/>
      <c r="I160" s="5"/>
      <c r="J160" s="5"/>
      <c r="K160" s="5"/>
      <c r="L160" s="5"/>
      <c r="M160" s="5"/>
      <c r="N160" s="5"/>
      <c r="O160" s="5"/>
    </row>
    <row r="161" ht="15.75" customHeight="1">
      <c r="A161" s="5"/>
      <c r="B161" s="112"/>
      <c r="C161" s="112"/>
      <c r="D161" s="5"/>
      <c r="E161" s="5"/>
      <c r="F161" s="5"/>
      <c r="G161" s="5"/>
      <c r="H161" s="5"/>
      <c r="I161" s="5"/>
      <c r="J161" s="5"/>
      <c r="K161" s="5"/>
      <c r="L161" s="5"/>
      <c r="M161" s="5"/>
      <c r="N161" s="5"/>
      <c r="O161" s="5"/>
    </row>
    <row r="162" ht="15.75" customHeight="1">
      <c r="A162" s="5"/>
      <c r="B162" s="112"/>
      <c r="C162" s="112"/>
      <c r="D162" s="5"/>
      <c r="E162" s="5"/>
      <c r="F162" s="5"/>
      <c r="G162" s="5"/>
      <c r="H162" s="5"/>
      <c r="I162" s="5"/>
      <c r="J162" s="5"/>
      <c r="K162" s="5"/>
      <c r="L162" s="5"/>
      <c r="M162" s="5"/>
      <c r="N162" s="5"/>
      <c r="O162" s="5"/>
    </row>
    <row r="163" ht="15.75" customHeight="1">
      <c r="A163" s="5"/>
      <c r="B163" s="112"/>
      <c r="C163" s="112"/>
      <c r="D163" s="5"/>
      <c r="E163" s="5"/>
      <c r="F163" s="5"/>
      <c r="G163" s="5"/>
      <c r="H163" s="5"/>
      <c r="I163" s="5"/>
      <c r="J163" s="5"/>
      <c r="K163" s="5"/>
      <c r="L163" s="5"/>
      <c r="M163" s="5"/>
      <c r="N163" s="5"/>
      <c r="O163" s="5"/>
    </row>
    <row r="164" ht="15.75" customHeight="1">
      <c r="A164" s="5"/>
      <c r="B164" s="112"/>
      <c r="C164" s="112"/>
      <c r="D164" s="5"/>
      <c r="E164" s="5"/>
      <c r="F164" s="5"/>
      <c r="G164" s="5"/>
      <c r="H164" s="5"/>
      <c r="I164" s="5"/>
      <c r="J164" s="5"/>
      <c r="K164" s="5"/>
      <c r="L164" s="5"/>
      <c r="M164" s="5"/>
      <c r="N164" s="5"/>
      <c r="O164" s="5"/>
    </row>
    <row r="165" ht="15.75" customHeight="1">
      <c r="A165" s="5"/>
      <c r="B165" s="112"/>
      <c r="C165" s="112"/>
      <c r="D165" s="5"/>
      <c r="E165" s="5"/>
      <c r="F165" s="5"/>
      <c r="G165" s="5"/>
      <c r="H165" s="5"/>
      <c r="I165" s="5"/>
      <c r="J165" s="5"/>
      <c r="K165" s="5"/>
      <c r="L165" s="5"/>
      <c r="M165" s="5"/>
      <c r="N165" s="5"/>
      <c r="O165" s="5"/>
    </row>
    <row r="166" ht="15.75" customHeight="1">
      <c r="A166" s="5"/>
      <c r="B166" s="112"/>
      <c r="C166" s="112"/>
      <c r="D166" s="5"/>
      <c r="E166" s="5"/>
      <c r="F166" s="5"/>
      <c r="G166" s="5"/>
      <c r="H166" s="5"/>
      <c r="I166" s="5"/>
      <c r="J166" s="5"/>
      <c r="K166" s="5"/>
      <c r="L166" s="5"/>
      <c r="M166" s="5"/>
      <c r="N166" s="5"/>
      <c r="O166" s="5"/>
    </row>
    <row r="167" ht="15.75" customHeight="1">
      <c r="A167" s="5"/>
      <c r="B167" s="112"/>
      <c r="C167" s="112"/>
      <c r="D167" s="5"/>
      <c r="E167" s="5"/>
      <c r="F167" s="5"/>
      <c r="G167" s="5"/>
      <c r="H167" s="5"/>
      <c r="I167" s="5"/>
      <c r="J167" s="5"/>
      <c r="K167" s="5"/>
      <c r="L167" s="5"/>
      <c r="M167" s="5"/>
      <c r="N167" s="5"/>
      <c r="O167" s="5"/>
    </row>
    <row r="168" ht="15.75" customHeight="1">
      <c r="A168" s="5"/>
      <c r="B168" s="112"/>
      <c r="C168" s="112"/>
      <c r="D168" s="5"/>
      <c r="E168" s="5"/>
      <c r="F168" s="5"/>
      <c r="G168" s="5"/>
      <c r="H168" s="5"/>
      <c r="I168" s="5"/>
      <c r="J168" s="5"/>
      <c r="K168" s="5"/>
      <c r="L168" s="5"/>
      <c r="M168" s="5"/>
      <c r="N168" s="5"/>
      <c r="O168" s="5"/>
    </row>
    <row r="169" ht="15.75" customHeight="1">
      <c r="A169" s="5"/>
      <c r="B169" s="112"/>
      <c r="C169" s="112"/>
      <c r="D169" s="5"/>
      <c r="E169" s="5"/>
      <c r="F169" s="5"/>
      <c r="G169" s="5"/>
      <c r="H169" s="5"/>
      <c r="I169" s="5"/>
      <c r="J169" s="5"/>
      <c r="K169" s="5"/>
      <c r="L169" s="5"/>
      <c r="M169" s="5"/>
      <c r="N169" s="5"/>
      <c r="O169" s="5"/>
    </row>
    <row r="170" ht="15.75" customHeight="1">
      <c r="A170" s="5"/>
      <c r="B170" s="112"/>
      <c r="C170" s="112"/>
      <c r="D170" s="5"/>
      <c r="E170" s="5"/>
      <c r="F170" s="5"/>
      <c r="G170" s="5"/>
      <c r="H170" s="5"/>
      <c r="I170" s="5"/>
      <c r="J170" s="5"/>
      <c r="K170" s="5"/>
      <c r="L170" s="5"/>
      <c r="M170" s="5"/>
      <c r="N170" s="5"/>
      <c r="O170" s="5"/>
    </row>
    <row r="171" ht="15.75" customHeight="1">
      <c r="A171" s="5"/>
      <c r="B171" s="112"/>
      <c r="C171" s="112"/>
      <c r="D171" s="5"/>
      <c r="E171" s="5"/>
      <c r="F171" s="5"/>
      <c r="G171" s="5"/>
      <c r="H171" s="5"/>
      <c r="I171" s="5"/>
      <c r="J171" s="5"/>
      <c r="K171" s="5"/>
      <c r="L171" s="5"/>
      <c r="M171" s="5"/>
      <c r="N171" s="5"/>
      <c r="O171" s="5"/>
    </row>
    <row r="172" ht="15.75" customHeight="1">
      <c r="A172" s="5"/>
      <c r="B172" s="112"/>
      <c r="C172" s="112"/>
      <c r="D172" s="5"/>
      <c r="E172" s="5"/>
      <c r="F172" s="5"/>
      <c r="G172" s="5"/>
      <c r="H172" s="5"/>
      <c r="I172" s="5"/>
      <c r="J172" s="5"/>
      <c r="K172" s="5"/>
      <c r="L172" s="5"/>
      <c r="M172" s="5"/>
      <c r="N172" s="5"/>
      <c r="O172" s="5"/>
    </row>
    <row r="173" ht="15.75" customHeight="1">
      <c r="A173" s="5"/>
      <c r="B173" s="112"/>
      <c r="C173" s="112"/>
      <c r="D173" s="5"/>
      <c r="E173" s="5"/>
      <c r="F173" s="5"/>
      <c r="G173" s="5"/>
      <c r="H173" s="5"/>
      <c r="I173" s="5"/>
      <c r="J173" s="5"/>
      <c r="K173" s="5"/>
      <c r="L173" s="5"/>
      <c r="M173" s="5"/>
      <c r="N173" s="5"/>
      <c r="O173" s="5"/>
    </row>
    <row r="174" ht="15.75" customHeight="1">
      <c r="A174" s="5"/>
      <c r="B174" s="112"/>
      <c r="C174" s="112"/>
      <c r="D174" s="5"/>
      <c r="E174" s="5"/>
      <c r="F174" s="5"/>
      <c r="G174" s="5"/>
      <c r="H174" s="5"/>
      <c r="I174" s="5"/>
      <c r="J174" s="5"/>
      <c r="K174" s="5"/>
      <c r="L174" s="5"/>
      <c r="M174" s="5"/>
      <c r="N174" s="5"/>
      <c r="O174" s="5"/>
    </row>
    <row r="175" ht="15.75" customHeight="1">
      <c r="A175" s="5"/>
      <c r="B175" s="112"/>
      <c r="C175" s="112"/>
      <c r="D175" s="5"/>
      <c r="E175" s="5"/>
      <c r="F175" s="5"/>
      <c r="G175" s="5"/>
      <c r="H175" s="5"/>
      <c r="I175" s="5"/>
      <c r="J175" s="5"/>
      <c r="K175" s="5"/>
      <c r="L175" s="5"/>
      <c r="M175" s="5"/>
      <c r="N175" s="5"/>
      <c r="O175" s="5"/>
    </row>
    <row r="176" ht="15.75" customHeight="1">
      <c r="A176" s="5"/>
      <c r="B176" s="112"/>
      <c r="C176" s="112"/>
      <c r="D176" s="5"/>
      <c r="E176" s="5"/>
      <c r="F176" s="5"/>
      <c r="G176" s="5"/>
      <c r="H176" s="5"/>
      <c r="I176" s="5"/>
      <c r="J176" s="5"/>
      <c r="K176" s="5"/>
      <c r="L176" s="5"/>
      <c r="M176" s="5"/>
      <c r="N176" s="5"/>
      <c r="O176" s="5"/>
    </row>
    <row r="177" ht="15.75" customHeight="1">
      <c r="A177" s="5"/>
      <c r="B177" s="112"/>
      <c r="C177" s="112"/>
      <c r="D177" s="5"/>
      <c r="E177" s="5"/>
      <c r="F177" s="5"/>
      <c r="G177" s="5"/>
      <c r="H177" s="5"/>
      <c r="I177" s="5"/>
      <c r="J177" s="5"/>
      <c r="K177" s="5"/>
      <c r="L177" s="5"/>
      <c r="M177" s="5"/>
      <c r="N177" s="5"/>
      <c r="O177" s="5"/>
    </row>
    <row r="178" ht="15.75" customHeight="1">
      <c r="A178" s="5"/>
      <c r="B178" s="112"/>
      <c r="C178" s="112"/>
      <c r="D178" s="5"/>
      <c r="E178" s="5"/>
      <c r="F178" s="5"/>
      <c r="G178" s="5"/>
      <c r="H178" s="5"/>
      <c r="I178" s="5"/>
      <c r="J178" s="5"/>
      <c r="K178" s="5"/>
      <c r="L178" s="5"/>
      <c r="M178" s="5"/>
      <c r="N178" s="5"/>
      <c r="O178" s="5"/>
    </row>
    <row r="179" ht="15.75" customHeight="1">
      <c r="A179" s="5"/>
      <c r="B179" s="112"/>
      <c r="C179" s="112"/>
      <c r="D179" s="5"/>
      <c r="E179" s="5"/>
      <c r="F179" s="5"/>
      <c r="G179" s="5"/>
      <c r="H179" s="5"/>
      <c r="I179" s="5"/>
      <c r="J179" s="5"/>
      <c r="K179" s="5"/>
      <c r="L179" s="5"/>
      <c r="M179" s="5"/>
      <c r="N179" s="5"/>
      <c r="O179" s="5"/>
    </row>
    <row r="180" ht="15.75" customHeight="1">
      <c r="A180" s="5"/>
      <c r="B180" s="112"/>
      <c r="C180" s="112"/>
      <c r="D180" s="5"/>
      <c r="E180" s="5"/>
      <c r="F180" s="5"/>
      <c r="G180" s="5"/>
      <c r="H180" s="5"/>
      <c r="I180" s="5"/>
      <c r="J180" s="5"/>
      <c r="K180" s="5"/>
      <c r="L180" s="5"/>
      <c r="M180" s="5"/>
      <c r="N180" s="5"/>
      <c r="O180" s="5"/>
    </row>
    <row r="181" ht="15.75" customHeight="1">
      <c r="A181" s="5"/>
      <c r="B181" s="112"/>
      <c r="C181" s="112"/>
      <c r="D181" s="5"/>
      <c r="E181" s="5"/>
      <c r="F181" s="5"/>
      <c r="G181" s="5"/>
      <c r="H181" s="5"/>
      <c r="I181" s="5"/>
      <c r="J181" s="5"/>
      <c r="K181" s="5"/>
      <c r="L181" s="5"/>
      <c r="M181" s="5"/>
      <c r="N181" s="5"/>
      <c r="O181" s="5"/>
    </row>
    <row r="182" ht="15.75" customHeight="1">
      <c r="A182" s="5"/>
      <c r="B182" s="112"/>
      <c r="C182" s="112"/>
      <c r="D182" s="5"/>
      <c r="E182" s="5"/>
      <c r="F182" s="5"/>
      <c r="G182" s="5"/>
      <c r="H182" s="5"/>
      <c r="I182" s="5"/>
      <c r="J182" s="5"/>
      <c r="K182" s="5"/>
      <c r="L182" s="5"/>
      <c r="M182" s="5"/>
      <c r="N182" s="5"/>
      <c r="O182" s="5"/>
    </row>
    <row r="183" ht="15.75" customHeight="1">
      <c r="A183" s="5"/>
      <c r="B183" s="112"/>
      <c r="C183" s="112"/>
      <c r="D183" s="5"/>
      <c r="E183" s="5"/>
      <c r="F183" s="5"/>
      <c r="G183" s="5"/>
      <c r="H183" s="5"/>
      <c r="I183" s="5"/>
      <c r="J183" s="5"/>
      <c r="K183" s="5"/>
      <c r="L183" s="5"/>
      <c r="M183" s="5"/>
      <c r="N183" s="5"/>
      <c r="O183" s="5"/>
    </row>
    <row r="184" ht="15.75" customHeight="1">
      <c r="A184" s="5"/>
      <c r="B184" s="112"/>
      <c r="C184" s="112"/>
      <c r="D184" s="5"/>
      <c r="E184" s="5"/>
      <c r="F184" s="5"/>
      <c r="G184" s="5"/>
      <c r="H184" s="5"/>
      <c r="I184" s="5"/>
      <c r="J184" s="5"/>
      <c r="K184" s="5"/>
      <c r="L184" s="5"/>
      <c r="M184" s="5"/>
      <c r="N184" s="5"/>
      <c r="O184" s="5"/>
    </row>
    <row r="185" ht="15.75" customHeight="1">
      <c r="A185" s="5"/>
      <c r="B185" s="112"/>
      <c r="C185" s="112"/>
      <c r="D185" s="5"/>
      <c r="E185" s="5"/>
      <c r="F185" s="5"/>
      <c r="G185" s="5"/>
      <c r="H185" s="5"/>
      <c r="I185" s="5"/>
      <c r="J185" s="5"/>
      <c r="K185" s="5"/>
      <c r="L185" s="5"/>
      <c r="M185" s="5"/>
      <c r="N185" s="5"/>
      <c r="O185" s="5"/>
    </row>
    <row r="186" ht="15.75" customHeight="1">
      <c r="A186" s="5"/>
      <c r="B186" s="112"/>
      <c r="C186" s="112"/>
      <c r="D186" s="5"/>
      <c r="E186" s="5"/>
      <c r="F186" s="5"/>
      <c r="G186" s="5"/>
      <c r="H186" s="5"/>
      <c r="I186" s="5"/>
      <c r="J186" s="5"/>
      <c r="K186" s="5"/>
      <c r="L186" s="5"/>
      <c r="M186" s="5"/>
      <c r="N186" s="5"/>
      <c r="O186" s="5"/>
    </row>
    <row r="187" ht="15.75" customHeight="1">
      <c r="A187" s="5"/>
      <c r="B187" s="112"/>
      <c r="C187" s="112"/>
      <c r="D187" s="5"/>
      <c r="E187" s="5"/>
      <c r="F187" s="5"/>
      <c r="G187" s="5"/>
      <c r="H187" s="5"/>
      <c r="I187" s="5"/>
      <c r="J187" s="5"/>
      <c r="K187" s="5"/>
      <c r="L187" s="5"/>
      <c r="M187" s="5"/>
      <c r="N187" s="5"/>
      <c r="O187" s="5"/>
    </row>
    <row r="188" ht="15.75" customHeight="1">
      <c r="A188" s="5"/>
      <c r="B188" s="112"/>
      <c r="C188" s="112"/>
      <c r="D188" s="5"/>
      <c r="E188" s="5"/>
      <c r="F188" s="5"/>
      <c r="G188" s="5"/>
      <c r="H188" s="5"/>
      <c r="I188" s="5"/>
      <c r="J188" s="5"/>
      <c r="K188" s="5"/>
      <c r="L188" s="5"/>
      <c r="M188" s="5"/>
      <c r="N188" s="5"/>
      <c r="O188" s="5"/>
    </row>
    <row r="189" ht="15.75" customHeight="1">
      <c r="A189" s="5"/>
      <c r="B189" s="112"/>
      <c r="C189" s="112"/>
      <c r="D189" s="5"/>
      <c r="E189" s="5"/>
      <c r="F189" s="5"/>
      <c r="G189" s="5"/>
      <c r="H189" s="5"/>
      <c r="I189" s="5"/>
      <c r="J189" s="5"/>
      <c r="K189" s="5"/>
      <c r="L189" s="5"/>
      <c r="M189" s="5"/>
      <c r="N189" s="5"/>
      <c r="O189" s="5"/>
    </row>
    <row r="190" ht="15.75" customHeight="1">
      <c r="A190" s="5"/>
      <c r="B190" s="112"/>
      <c r="C190" s="112"/>
      <c r="D190" s="5"/>
      <c r="E190" s="5"/>
      <c r="F190" s="5"/>
      <c r="G190" s="5"/>
      <c r="H190" s="5"/>
      <c r="I190" s="5"/>
      <c r="J190" s="5"/>
      <c r="K190" s="5"/>
      <c r="L190" s="5"/>
      <c r="M190" s="5"/>
      <c r="N190" s="5"/>
      <c r="O190" s="5"/>
    </row>
    <row r="191" ht="15.75" customHeight="1">
      <c r="A191" s="5"/>
      <c r="B191" s="112"/>
      <c r="C191" s="112"/>
      <c r="D191" s="5"/>
      <c r="E191" s="5"/>
      <c r="F191" s="5"/>
      <c r="G191" s="5"/>
      <c r="H191" s="5"/>
      <c r="I191" s="5"/>
      <c r="J191" s="5"/>
      <c r="K191" s="5"/>
      <c r="L191" s="5"/>
      <c r="M191" s="5"/>
      <c r="N191" s="5"/>
      <c r="O191" s="5"/>
    </row>
    <row r="192" ht="15.75" customHeight="1">
      <c r="A192" s="5"/>
      <c r="B192" s="112"/>
      <c r="C192" s="112"/>
      <c r="D192" s="5"/>
      <c r="E192" s="5"/>
      <c r="F192" s="5"/>
      <c r="G192" s="5"/>
      <c r="H192" s="5"/>
      <c r="I192" s="5"/>
      <c r="J192" s="5"/>
      <c r="K192" s="5"/>
      <c r="L192" s="5"/>
      <c r="M192" s="5"/>
      <c r="N192" s="5"/>
      <c r="O192" s="5"/>
    </row>
    <row r="193" ht="15.75" customHeight="1">
      <c r="A193" s="5"/>
      <c r="B193" s="112"/>
      <c r="C193" s="112"/>
      <c r="D193" s="5"/>
      <c r="E193" s="5"/>
      <c r="F193" s="5"/>
      <c r="G193" s="5"/>
      <c r="H193" s="5"/>
      <c r="I193" s="5"/>
      <c r="J193" s="5"/>
      <c r="K193" s="5"/>
      <c r="L193" s="5"/>
      <c r="M193" s="5"/>
      <c r="N193" s="5"/>
      <c r="O193" s="5"/>
    </row>
    <row r="194" ht="15.75" customHeight="1">
      <c r="A194" s="5"/>
      <c r="B194" s="112"/>
      <c r="C194" s="112"/>
      <c r="D194" s="5"/>
      <c r="E194" s="5"/>
      <c r="F194" s="5"/>
      <c r="G194" s="5"/>
      <c r="H194" s="5"/>
      <c r="I194" s="5"/>
      <c r="J194" s="5"/>
      <c r="K194" s="5"/>
      <c r="L194" s="5"/>
      <c r="M194" s="5"/>
      <c r="N194" s="5"/>
      <c r="O194" s="5"/>
    </row>
    <row r="195" ht="15.75" customHeight="1">
      <c r="A195" s="5"/>
      <c r="B195" s="112"/>
      <c r="C195" s="112"/>
      <c r="D195" s="5"/>
      <c r="E195" s="5"/>
      <c r="F195" s="5"/>
      <c r="G195" s="5"/>
      <c r="H195" s="5"/>
      <c r="I195" s="5"/>
      <c r="J195" s="5"/>
      <c r="K195" s="5"/>
      <c r="L195" s="5"/>
      <c r="M195" s="5"/>
      <c r="N195" s="5"/>
      <c r="O195" s="5"/>
    </row>
    <row r="196" ht="15.75" customHeight="1">
      <c r="A196" s="5"/>
      <c r="B196" s="112"/>
      <c r="C196" s="112"/>
      <c r="D196" s="5"/>
      <c r="E196" s="5"/>
      <c r="F196" s="5"/>
      <c r="G196" s="5"/>
      <c r="H196" s="5"/>
      <c r="I196" s="5"/>
      <c r="J196" s="5"/>
      <c r="K196" s="5"/>
      <c r="L196" s="5"/>
      <c r="M196" s="5"/>
      <c r="N196" s="5"/>
      <c r="O196" s="5"/>
    </row>
    <row r="197" ht="15.75" customHeight="1">
      <c r="A197" s="5"/>
      <c r="B197" s="112"/>
      <c r="C197" s="112"/>
      <c r="D197" s="5"/>
      <c r="E197" s="5"/>
      <c r="F197" s="5"/>
      <c r="G197" s="5"/>
      <c r="H197" s="5"/>
      <c r="I197" s="5"/>
      <c r="J197" s="5"/>
      <c r="K197" s="5"/>
      <c r="L197" s="5"/>
      <c r="M197" s="5"/>
      <c r="N197" s="5"/>
      <c r="O197" s="5"/>
    </row>
    <row r="198" ht="15.75" customHeight="1">
      <c r="A198" s="5"/>
      <c r="B198" s="112"/>
      <c r="C198" s="112"/>
      <c r="D198" s="5"/>
      <c r="E198" s="5"/>
      <c r="F198" s="5"/>
      <c r="G198" s="5"/>
      <c r="H198" s="5"/>
      <c r="I198" s="5"/>
      <c r="J198" s="5"/>
      <c r="K198" s="5"/>
      <c r="L198" s="5"/>
      <c r="M198" s="5"/>
      <c r="N198" s="5"/>
      <c r="O198" s="5"/>
    </row>
    <row r="199" ht="15.75" customHeight="1">
      <c r="A199" s="5"/>
      <c r="B199" s="112"/>
      <c r="C199" s="112"/>
      <c r="D199" s="5"/>
      <c r="E199" s="5"/>
      <c r="F199" s="5"/>
      <c r="G199" s="5"/>
      <c r="H199" s="5"/>
      <c r="I199" s="5"/>
      <c r="J199" s="5"/>
      <c r="K199" s="5"/>
      <c r="L199" s="5"/>
      <c r="M199" s="5"/>
      <c r="N199" s="5"/>
      <c r="O199" s="5"/>
    </row>
    <row r="200" ht="15.75" customHeight="1">
      <c r="A200" s="5"/>
      <c r="B200" s="112"/>
      <c r="C200" s="112"/>
      <c r="D200" s="5"/>
      <c r="E200" s="5"/>
      <c r="F200" s="5"/>
      <c r="G200" s="5"/>
      <c r="H200" s="5"/>
      <c r="I200" s="5"/>
      <c r="J200" s="5"/>
      <c r="K200" s="5"/>
      <c r="L200" s="5"/>
      <c r="M200" s="5"/>
      <c r="N200" s="5"/>
      <c r="O200" s="5"/>
    </row>
    <row r="201" ht="15.75" customHeight="1">
      <c r="A201" s="5"/>
      <c r="B201" s="112"/>
      <c r="C201" s="112"/>
      <c r="D201" s="5"/>
      <c r="E201" s="5"/>
      <c r="F201" s="5"/>
      <c r="G201" s="5"/>
      <c r="H201" s="5"/>
      <c r="I201" s="5"/>
      <c r="J201" s="5"/>
      <c r="K201" s="5"/>
      <c r="L201" s="5"/>
      <c r="M201" s="5"/>
      <c r="N201" s="5"/>
      <c r="O201" s="5"/>
    </row>
    <row r="202" ht="15.75" customHeight="1">
      <c r="A202" s="5"/>
      <c r="B202" s="112"/>
      <c r="C202" s="112"/>
      <c r="D202" s="5"/>
      <c r="E202" s="5"/>
      <c r="F202" s="5"/>
      <c r="G202" s="5"/>
      <c r="H202" s="5"/>
      <c r="I202" s="5"/>
      <c r="J202" s="5"/>
      <c r="K202" s="5"/>
      <c r="L202" s="5"/>
      <c r="M202" s="5"/>
      <c r="N202" s="5"/>
      <c r="O202" s="5"/>
    </row>
    <row r="203" ht="15.75" customHeight="1">
      <c r="A203" s="5"/>
      <c r="B203" s="112"/>
      <c r="C203" s="112"/>
      <c r="D203" s="5"/>
      <c r="E203" s="5"/>
      <c r="F203" s="5"/>
      <c r="G203" s="5"/>
      <c r="H203" s="5"/>
      <c r="I203" s="5"/>
      <c r="J203" s="5"/>
      <c r="K203" s="5"/>
      <c r="L203" s="5"/>
      <c r="M203" s="5"/>
      <c r="N203" s="5"/>
      <c r="O203" s="5"/>
    </row>
    <row r="204" ht="15.75" customHeight="1">
      <c r="A204" s="5"/>
      <c r="B204" s="112"/>
      <c r="C204" s="112"/>
      <c r="D204" s="5"/>
      <c r="E204" s="5"/>
      <c r="F204" s="5"/>
      <c r="G204" s="5"/>
      <c r="H204" s="5"/>
      <c r="I204" s="5"/>
      <c r="J204" s="5"/>
      <c r="K204" s="5"/>
      <c r="L204" s="5"/>
      <c r="M204" s="5"/>
      <c r="N204" s="5"/>
      <c r="O204" s="5"/>
    </row>
    <row r="205" ht="15.75" customHeight="1">
      <c r="A205" s="5"/>
      <c r="B205" s="112"/>
      <c r="C205" s="112"/>
      <c r="D205" s="5"/>
      <c r="E205" s="5"/>
      <c r="F205" s="5"/>
      <c r="G205" s="5"/>
      <c r="H205" s="5"/>
      <c r="I205" s="5"/>
      <c r="J205" s="5"/>
      <c r="K205" s="5"/>
      <c r="L205" s="5"/>
      <c r="M205" s="5"/>
      <c r="N205" s="5"/>
      <c r="O205" s="5"/>
    </row>
    <row r="206" ht="15.75" customHeight="1">
      <c r="A206" s="5"/>
      <c r="B206" s="112"/>
      <c r="C206" s="112"/>
      <c r="D206" s="5"/>
      <c r="E206" s="5"/>
      <c r="F206" s="5"/>
      <c r="G206" s="5"/>
      <c r="H206" s="5"/>
      <c r="I206" s="5"/>
      <c r="J206" s="5"/>
      <c r="K206" s="5"/>
      <c r="L206" s="5"/>
      <c r="M206" s="5"/>
      <c r="N206" s="5"/>
      <c r="O206" s="5"/>
    </row>
    <row r="207" ht="15.75" customHeight="1">
      <c r="A207" s="5"/>
      <c r="B207" s="112"/>
      <c r="C207" s="112"/>
      <c r="D207" s="5"/>
      <c r="E207" s="5"/>
      <c r="F207" s="5"/>
      <c r="G207" s="5"/>
      <c r="H207" s="5"/>
      <c r="I207" s="5"/>
      <c r="J207" s="5"/>
      <c r="K207" s="5"/>
      <c r="L207" s="5"/>
      <c r="M207" s="5"/>
      <c r="N207" s="5"/>
      <c r="O207" s="5"/>
    </row>
    <row r="208" ht="15.75" customHeight="1">
      <c r="A208" s="5"/>
      <c r="B208" s="112"/>
      <c r="C208" s="112"/>
      <c r="D208" s="5"/>
      <c r="E208" s="5"/>
      <c r="F208" s="5"/>
      <c r="G208" s="5"/>
      <c r="H208" s="5"/>
      <c r="I208" s="5"/>
      <c r="J208" s="5"/>
      <c r="K208" s="5"/>
      <c r="L208" s="5"/>
      <c r="M208" s="5"/>
      <c r="N208" s="5"/>
      <c r="O208" s="5"/>
    </row>
    <row r="209" ht="15.75" customHeight="1">
      <c r="A209" s="5"/>
      <c r="B209" s="112"/>
      <c r="C209" s="112"/>
      <c r="D209" s="5"/>
      <c r="E209" s="5"/>
      <c r="F209" s="5"/>
      <c r="G209" s="5"/>
      <c r="H209" s="5"/>
      <c r="I209" s="5"/>
      <c r="J209" s="5"/>
      <c r="K209" s="5"/>
      <c r="L209" s="5"/>
      <c r="M209" s="5"/>
      <c r="N209" s="5"/>
      <c r="O209" s="5"/>
    </row>
    <row r="210" ht="15.75" customHeight="1">
      <c r="A210" s="5"/>
      <c r="B210" s="112"/>
      <c r="C210" s="112"/>
      <c r="D210" s="5"/>
      <c r="E210" s="5"/>
      <c r="F210" s="5"/>
      <c r="G210" s="5"/>
      <c r="H210" s="5"/>
      <c r="I210" s="5"/>
      <c r="J210" s="5"/>
      <c r="K210" s="5"/>
      <c r="L210" s="5"/>
      <c r="M210" s="5"/>
      <c r="N210" s="5"/>
      <c r="O210" s="5"/>
    </row>
    <row r="211" ht="15.75" customHeight="1">
      <c r="A211" s="5"/>
      <c r="B211" s="112"/>
      <c r="C211" s="112"/>
      <c r="D211" s="5"/>
      <c r="E211" s="5"/>
      <c r="F211" s="5"/>
      <c r="G211" s="5"/>
      <c r="H211" s="5"/>
      <c r="I211" s="5"/>
      <c r="J211" s="5"/>
      <c r="K211" s="5"/>
      <c r="L211" s="5"/>
      <c r="M211" s="5"/>
      <c r="N211" s="5"/>
      <c r="O211" s="5"/>
    </row>
    <row r="212" ht="15.75" customHeight="1">
      <c r="A212" s="5"/>
      <c r="B212" s="112"/>
      <c r="C212" s="112"/>
      <c r="D212" s="5"/>
      <c r="E212" s="5"/>
      <c r="F212" s="5"/>
      <c r="G212" s="5"/>
      <c r="H212" s="5"/>
      <c r="I212" s="5"/>
      <c r="J212" s="5"/>
      <c r="K212" s="5"/>
      <c r="L212" s="5"/>
      <c r="M212" s="5"/>
      <c r="N212" s="5"/>
      <c r="O212" s="5"/>
    </row>
    <row r="213" ht="15.75" customHeight="1">
      <c r="A213" s="5"/>
      <c r="B213" s="112"/>
      <c r="C213" s="112"/>
      <c r="D213" s="5"/>
      <c r="E213" s="5"/>
      <c r="F213" s="5"/>
      <c r="G213" s="5"/>
      <c r="H213" s="5"/>
      <c r="I213" s="5"/>
      <c r="J213" s="5"/>
      <c r="K213" s="5"/>
      <c r="L213" s="5"/>
      <c r="M213" s="5"/>
      <c r="N213" s="5"/>
      <c r="O213" s="5"/>
    </row>
    <row r="214" ht="15.75" customHeight="1">
      <c r="A214" s="5"/>
      <c r="B214" s="112"/>
      <c r="C214" s="112"/>
      <c r="D214" s="5"/>
      <c r="E214" s="5"/>
      <c r="F214" s="5"/>
      <c r="G214" s="5"/>
      <c r="H214" s="5"/>
      <c r="I214" s="5"/>
      <c r="J214" s="5"/>
      <c r="K214" s="5"/>
      <c r="L214" s="5"/>
      <c r="M214" s="5"/>
      <c r="N214" s="5"/>
      <c r="O214" s="5"/>
    </row>
    <row r="215" ht="15.75" customHeight="1">
      <c r="A215" s="5"/>
      <c r="B215" s="112"/>
      <c r="C215" s="112"/>
      <c r="D215" s="5"/>
      <c r="E215" s="5"/>
      <c r="F215" s="5"/>
      <c r="G215" s="5"/>
      <c r="H215" s="5"/>
      <c r="I215" s="5"/>
      <c r="J215" s="5"/>
      <c r="K215" s="5"/>
      <c r="L215" s="5"/>
      <c r="M215" s="5"/>
      <c r="N215" s="5"/>
      <c r="O215" s="5"/>
    </row>
    <row r="216" ht="15.75" customHeight="1">
      <c r="A216" s="5"/>
      <c r="B216" s="112"/>
      <c r="C216" s="112"/>
      <c r="D216" s="5"/>
      <c r="E216" s="5"/>
      <c r="F216" s="5"/>
      <c r="G216" s="5"/>
      <c r="H216" s="5"/>
      <c r="I216" s="5"/>
      <c r="J216" s="5"/>
      <c r="K216" s="5"/>
      <c r="L216" s="5"/>
      <c r="M216" s="5"/>
      <c r="N216" s="5"/>
      <c r="O216" s="5"/>
    </row>
    <row r="217" ht="15.75" customHeight="1">
      <c r="A217" s="5"/>
      <c r="B217" s="112"/>
      <c r="C217" s="112"/>
      <c r="D217" s="5"/>
      <c r="E217" s="5"/>
      <c r="F217" s="5"/>
      <c r="G217" s="5"/>
      <c r="H217" s="5"/>
      <c r="I217" s="5"/>
      <c r="J217" s="5"/>
      <c r="K217" s="5"/>
      <c r="L217" s="5"/>
      <c r="M217" s="5"/>
      <c r="N217" s="5"/>
      <c r="O217" s="5"/>
    </row>
    <row r="218" ht="15.75" customHeight="1">
      <c r="A218" s="5"/>
      <c r="B218" s="112"/>
      <c r="C218" s="112"/>
      <c r="D218" s="5"/>
      <c r="E218" s="5"/>
      <c r="F218" s="5"/>
      <c r="G218" s="5"/>
      <c r="H218" s="5"/>
      <c r="I218" s="5"/>
      <c r="J218" s="5"/>
      <c r="K218" s="5"/>
      <c r="L218" s="5"/>
      <c r="M218" s="5"/>
      <c r="N218" s="5"/>
      <c r="O218" s="5"/>
    </row>
    <row r="219" ht="15.75" customHeight="1">
      <c r="A219" s="5"/>
      <c r="B219" s="112"/>
      <c r="C219" s="112"/>
      <c r="D219" s="5"/>
      <c r="E219" s="5"/>
      <c r="F219" s="5"/>
      <c r="G219" s="5"/>
      <c r="H219" s="5"/>
      <c r="I219" s="5"/>
      <c r="J219" s="5"/>
      <c r="K219" s="5"/>
      <c r="L219" s="5"/>
      <c r="M219" s="5"/>
      <c r="N219" s="5"/>
      <c r="O219" s="5"/>
    </row>
    <row r="220" ht="15.75" customHeight="1">
      <c r="A220" s="5"/>
      <c r="B220" s="112"/>
      <c r="C220" s="112"/>
      <c r="D220" s="5"/>
      <c r="E220" s="5"/>
      <c r="F220" s="5"/>
      <c r="G220" s="5"/>
      <c r="H220" s="5"/>
      <c r="I220" s="5"/>
      <c r="J220" s="5"/>
      <c r="K220" s="5"/>
      <c r="L220" s="5"/>
      <c r="M220" s="5"/>
      <c r="N220" s="5"/>
      <c r="O220" s="5"/>
    </row>
    <row r="221" ht="15.75" customHeight="1">
      <c r="A221" s="5"/>
      <c r="B221" s="112"/>
      <c r="C221" s="112"/>
      <c r="D221" s="5"/>
      <c r="E221" s="5"/>
      <c r="F221" s="5"/>
      <c r="G221" s="5"/>
      <c r="H221" s="5"/>
      <c r="I221" s="5"/>
      <c r="J221" s="5"/>
      <c r="K221" s="5"/>
      <c r="L221" s="5"/>
      <c r="M221" s="5"/>
      <c r="N221" s="5"/>
      <c r="O221" s="5"/>
    </row>
    <row r="222" ht="15.75" customHeight="1">
      <c r="A222" s="5"/>
      <c r="B222" s="112"/>
      <c r="C222" s="112"/>
      <c r="D222" s="5"/>
      <c r="E222" s="5"/>
      <c r="F222" s="5"/>
      <c r="G222" s="5"/>
      <c r="H222" s="5"/>
      <c r="I222" s="5"/>
      <c r="J222" s="5"/>
      <c r="K222" s="5"/>
      <c r="L222" s="5"/>
      <c r="M222" s="5"/>
      <c r="N222" s="5"/>
      <c r="O222" s="5"/>
    </row>
    <row r="223" ht="15.75" customHeight="1">
      <c r="A223" s="5"/>
      <c r="B223" s="112"/>
      <c r="C223" s="112"/>
      <c r="D223" s="5"/>
      <c r="E223" s="5"/>
      <c r="F223" s="5"/>
      <c r="G223" s="5"/>
      <c r="H223" s="5"/>
      <c r="I223" s="5"/>
      <c r="J223" s="5"/>
      <c r="K223" s="5"/>
      <c r="L223" s="5"/>
      <c r="M223" s="5"/>
      <c r="N223" s="5"/>
      <c r="O223" s="5"/>
    </row>
    <row r="224" ht="15.75" customHeight="1">
      <c r="A224" s="5"/>
      <c r="B224" s="112"/>
      <c r="C224" s="112"/>
      <c r="D224" s="5"/>
      <c r="E224" s="5"/>
      <c r="F224" s="5"/>
      <c r="G224" s="5"/>
      <c r="H224" s="5"/>
      <c r="I224" s="5"/>
      <c r="J224" s="5"/>
      <c r="K224" s="5"/>
      <c r="L224" s="5"/>
      <c r="M224" s="5"/>
      <c r="N224" s="5"/>
      <c r="O224" s="5"/>
    </row>
    <row r="225" ht="15.75" customHeight="1">
      <c r="A225" s="5"/>
      <c r="B225" s="112"/>
      <c r="C225" s="112"/>
      <c r="D225" s="5"/>
      <c r="E225" s="5"/>
      <c r="F225" s="5"/>
      <c r="G225" s="5"/>
      <c r="H225" s="5"/>
      <c r="I225" s="5"/>
      <c r="J225" s="5"/>
      <c r="K225" s="5"/>
      <c r="L225" s="5"/>
      <c r="M225" s="5"/>
      <c r="N225" s="5"/>
      <c r="O225" s="5"/>
    </row>
    <row r="226" ht="15.75" customHeight="1">
      <c r="A226" s="5"/>
      <c r="B226" s="112"/>
      <c r="C226" s="112"/>
      <c r="D226" s="5"/>
      <c r="E226" s="5"/>
      <c r="F226" s="5"/>
      <c r="G226" s="5"/>
      <c r="H226" s="5"/>
      <c r="I226" s="5"/>
      <c r="J226" s="5"/>
      <c r="K226" s="5"/>
      <c r="L226" s="5"/>
      <c r="M226" s="5"/>
      <c r="N226" s="5"/>
      <c r="O226" s="5"/>
    </row>
    <row r="227" ht="15.75" customHeight="1">
      <c r="A227" s="5"/>
      <c r="B227" s="112"/>
      <c r="C227" s="112"/>
      <c r="D227" s="5"/>
      <c r="E227" s="5"/>
      <c r="F227" s="5"/>
      <c r="G227" s="5"/>
      <c r="H227" s="5"/>
      <c r="I227" s="5"/>
      <c r="J227" s="5"/>
      <c r="K227" s="5"/>
      <c r="L227" s="5"/>
      <c r="M227" s="5"/>
      <c r="N227" s="5"/>
      <c r="O227" s="5"/>
    </row>
    <row r="228" ht="15.75" customHeight="1">
      <c r="A228" s="5"/>
      <c r="B228" s="112"/>
      <c r="C228" s="112"/>
      <c r="D228" s="5"/>
      <c r="E228" s="5"/>
      <c r="F228" s="5"/>
      <c r="G228" s="5"/>
      <c r="H228" s="5"/>
      <c r="I228" s="5"/>
      <c r="J228" s="5"/>
      <c r="K228" s="5"/>
      <c r="L228" s="5"/>
      <c r="M228" s="5"/>
      <c r="N228" s="5"/>
      <c r="O228" s="5"/>
    </row>
    <row r="229" ht="15.75" customHeight="1">
      <c r="A229" s="5"/>
      <c r="B229" s="112"/>
      <c r="C229" s="112"/>
      <c r="D229" s="5"/>
      <c r="E229" s="5"/>
      <c r="F229" s="5"/>
      <c r="G229" s="5"/>
      <c r="H229" s="5"/>
      <c r="I229" s="5"/>
      <c r="J229" s="5"/>
      <c r="K229" s="5"/>
      <c r="L229" s="5"/>
      <c r="M229" s="5"/>
      <c r="N229" s="5"/>
      <c r="O229" s="5"/>
    </row>
    <row r="230" ht="15.75" customHeight="1">
      <c r="A230" s="5"/>
      <c r="B230" s="112"/>
      <c r="C230" s="112"/>
      <c r="D230" s="5"/>
      <c r="E230" s="5"/>
      <c r="F230" s="5"/>
      <c r="G230" s="5"/>
      <c r="H230" s="5"/>
      <c r="I230" s="5"/>
      <c r="J230" s="5"/>
      <c r="K230" s="5"/>
      <c r="L230" s="5"/>
      <c r="M230" s="5"/>
      <c r="N230" s="5"/>
      <c r="O230" s="5"/>
    </row>
    <row r="231" ht="15.75" customHeight="1">
      <c r="A231" s="5"/>
      <c r="B231" s="112"/>
      <c r="C231" s="112"/>
      <c r="D231" s="5"/>
      <c r="E231" s="5"/>
      <c r="F231" s="5"/>
      <c r="G231" s="5"/>
      <c r="H231" s="5"/>
      <c r="I231" s="5"/>
      <c r="J231" s="5"/>
      <c r="K231" s="5"/>
      <c r="L231" s="5"/>
      <c r="M231" s="5"/>
      <c r="N231" s="5"/>
      <c r="O231" s="5"/>
    </row>
    <row r="232" ht="15.75" customHeight="1">
      <c r="A232" s="5"/>
      <c r="B232" s="112"/>
      <c r="C232" s="112"/>
      <c r="D232" s="5"/>
      <c r="E232" s="5"/>
      <c r="F232" s="5"/>
      <c r="G232" s="5"/>
      <c r="H232" s="5"/>
      <c r="I232" s="5"/>
      <c r="J232" s="5"/>
      <c r="K232" s="5"/>
      <c r="L232" s="5"/>
      <c r="M232" s="5"/>
      <c r="N232" s="5"/>
      <c r="O232" s="5"/>
    </row>
    <row r="233" ht="15.75" customHeight="1">
      <c r="A233" s="5"/>
      <c r="B233" s="112"/>
      <c r="C233" s="112"/>
      <c r="D233" s="5"/>
      <c r="E233" s="5"/>
      <c r="F233" s="5"/>
      <c r="G233" s="5"/>
      <c r="H233" s="5"/>
      <c r="I233" s="5"/>
      <c r="J233" s="5"/>
      <c r="K233" s="5"/>
      <c r="L233" s="5"/>
      <c r="M233" s="5"/>
      <c r="N233" s="5"/>
      <c r="O233" s="5"/>
    </row>
    <row r="234" ht="15.75" customHeight="1">
      <c r="A234" s="5"/>
      <c r="B234" s="112"/>
      <c r="C234" s="112"/>
      <c r="D234" s="5"/>
      <c r="E234" s="5"/>
      <c r="F234" s="5"/>
      <c r="G234" s="5"/>
      <c r="H234" s="5"/>
      <c r="I234" s="5"/>
      <c r="J234" s="5"/>
      <c r="K234" s="5"/>
      <c r="L234" s="5"/>
      <c r="M234" s="5"/>
      <c r="N234" s="5"/>
      <c r="O234" s="5"/>
    </row>
    <row r="235" ht="15.75" customHeight="1">
      <c r="A235" s="5"/>
      <c r="B235" s="112"/>
      <c r="C235" s="112"/>
      <c r="D235" s="5"/>
      <c r="E235" s="5"/>
      <c r="F235" s="5"/>
      <c r="G235" s="5"/>
      <c r="H235" s="5"/>
      <c r="I235" s="5"/>
      <c r="J235" s="5"/>
      <c r="K235" s="5"/>
      <c r="L235" s="5"/>
      <c r="M235" s="5"/>
      <c r="N235" s="5"/>
      <c r="O235" s="5"/>
    </row>
    <row r="236" ht="15.75" customHeight="1">
      <c r="A236" s="5"/>
      <c r="B236" s="112"/>
      <c r="C236" s="112"/>
      <c r="D236" s="5"/>
      <c r="E236" s="5"/>
      <c r="F236" s="5"/>
      <c r="G236" s="5"/>
      <c r="H236" s="5"/>
      <c r="I236" s="5"/>
      <c r="J236" s="5"/>
      <c r="K236" s="5"/>
      <c r="L236" s="5"/>
      <c r="M236" s="5"/>
      <c r="N236" s="5"/>
      <c r="O236" s="5"/>
    </row>
    <row r="237" ht="15.75" customHeight="1">
      <c r="A237" s="5"/>
      <c r="B237" s="112"/>
      <c r="C237" s="112"/>
      <c r="D237" s="5"/>
      <c r="E237" s="5"/>
      <c r="F237" s="5"/>
      <c r="G237" s="5"/>
      <c r="H237" s="5"/>
      <c r="I237" s="5"/>
      <c r="J237" s="5"/>
      <c r="K237" s="5"/>
      <c r="L237" s="5"/>
      <c r="M237" s="5"/>
      <c r="N237" s="5"/>
      <c r="O237" s="5"/>
    </row>
    <row r="238" ht="15.75" customHeight="1">
      <c r="A238" s="5"/>
      <c r="B238" s="112"/>
      <c r="C238" s="112"/>
      <c r="D238" s="5"/>
      <c r="E238" s="5"/>
      <c r="F238" s="5"/>
      <c r="G238" s="5"/>
      <c r="H238" s="5"/>
      <c r="I238" s="5"/>
      <c r="J238" s="5"/>
      <c r="K238" s="5"/>
      <c r="L238" s="5"/>
      <c r="M238" s="5"/>
      <c r="N238" s="5"/>
      <c r="O238" s="5"/>
    </row>
    <row r="239" ht="15.75" customHeight="1">
      <c r="A239" s="5"/>
      <c r="B239" s="112"/>
      <c r="C239" s="112"/>
      <c r="D239" s="5"/>
      <c r="E239" s="5"/>
      <c r="F239" s="5"/>
      <c r="G239" s="5"/>
      <c r="H239" s="5"/>
      <c r="I239" s="5"/>
      <c r="J239" s="5"/>
      <c r="K239" s="5"/>
      <c r="L239" s="5"/>
      <c r="M239" s="5"/>
      <c r="N239" s="5"/>
      <c r="O239" s="5"/>
    </row>
    <row r="240" ht="15.75" customHeight="1">
      <c r="A240" s="5"/>
      <c r="B240" s="112"/>
      <c r="C240" s="112"/>
      <c r="D240" s="5"/>
      <c r="E240" s="5"/>
      <c r="F240" s="5"/>
      <c r="G240" s="5"/>
      <c r="H240" s="5"/>
      <c r="I240" s="5"/>
      <c r="J240" s="5"/>
      <c r="K240" s="5"/>
      <c r="L240" s="5"/>
      <c r="M240" s="5"/>
      <c r="N240" s="5"/>
      <c r="O240" s="5"/>
    </row>
    <row r="241" ht="15.75" customHeight="1">
      <c r="A241" s="5"/>
      <c r="B241" s="112"/>
      <c r="C241" s="112"/>
      <c r="D241" s="5"/>
      <c r="E241" s="5"/>
      <c r="F241" s="5"/>
      <c r="G241" s="5"/>
      <c r="H241" s="5"/>
      <c r="I241" s="5"/>
      <c r="J241" s="5"/>
      <c r="K241" s="5"/>
      <c r="L241" s="5"/>
      <c r="M241" s="5"/>
      <c r="N241" s="5"/>
      <c r="O241" s="5"/>
    </row>
    <row r="242" ht="15.75" customHeight="1">
      <c r="A242" s="5"/>
      <c r="B242" s="112"/>
      <c r="C242" s="112"/>
      <c r="D242" s="5"/>
      <c r="E242" s="5"/>
      <c r="F242" s="5"/>
      <c r="G242" s="5"/>
      <c r="H242" s="5"/>
      <c r="I242" s="5"/>
      <c r="J242" s="5"/>
      <c r="K242" s="5"/>
      <c r="L242" s="5"/>
      <c r="M242" s="5"/>
      <c r="N242" s="5"/>
      <c r="O242" s="5"/>
    </row>
    <row r="243" ht="15.75" customHeight="1">
      <c r="A243" s="5"/>
      <c r="B243" s="112"/>
      <c r="C243" s="112"/>
      <c r="D243" s="5"/>
      <c r="E243" s="5"/>
      <c r="F243" s="5"/>
      <c r="G243" s="5"/>
      <c r="H243" s="5"/>
      <c r="I243" s="5"/>
      <c r="J243" s="5"/>
      <c r="K243" s="5"/>
      <c r="L243" s="5"/>
      <c r="M243" s="5"/>
      <c r="N243" s="5"/>
      <c r="O243" s="5"/>
    </row>
    <row r="244" ht="15.75" customHeight="1">
      <c r="A244" s="5"/>
      <c r="B244" s="112"/>
      <c r="C244" s="112"/>
      <c r="D244" s="5"/>
      <c r="E244" s="5"/>
      <c r="F244" s="5"/>
      <c r="G244" s="5"/>
      <c r="H244" s="5"/>
      <c r="I244" s="5"/>
      <c r="J244" s="5"/>
      <c r="K244" s="5"/>
      <c r="L244" s="5"/>
      <c r="M244" s="5"/>
      <c r="N244" s="5"/>
      <c r="O244" s="5"/>
    </row>
    <row r="245" ht="15.75" customHeight="1">
      <c r="A245" s="5"/>
      <c r="B245" s="112"/>
      <c r="C245" s="112"/>
      <c r="D245" s="5"/>
      <c r="E245" s="5"/>
      <c r="F245" s="5"/>
      <c r="G245" s="5"/>
      <c r="H245" s="5"/>
      <c r="I245" s="5"/>
      <c r="J245" s="5"/>
      <c r="K245" s="5"/>
      <c r="L245" s="5"/>
      <c r="M245" s="5"/>
      <c r="N245" s="5"/>
      <c r="O245" s="5"/>
    </row>
    <row r="246" ht="15.75" customHeight="1">
      <c r="A246" s="5"/>
      <c r="B246" s="112"/>
      <c r="C246" s="112"/>
      <c r="D246" s="5"/>
      <c r="E246" s="5"/>
      <c r="F246" s="5"/>
      <c r="G246" s="5"/>
      <c r="H246" s="5"/>
      <c r="I246" s="5"/>
      <c r="J246" s="5"/>
      <c r="K246" s="5"/>
      <c r="L246" s="5"/>
      <c r="M246" s="5"/>
      <c r="N246" s="5"/>
      <c r="O246" s="5"/>
    </row>
    <row r="247" ht="15.75" customHeight="1">
      <c r="A247" s="5"/>
      <c r="B247" s="112"/>
      <c r="C247" s="112"/>
      <c r="D247" s="5"/>
      <c r="E247" s="5"/>
      <c r="F247" s="5"/>
      <c r="G247" s="5"/>
      <c r="H247" s="5"/>
      <c r="I247" s="5"/>
      <c r="J247" s="5"/>
      <c r="K247" s="5"/>
      <c r="L247" s="5"/>
      <c r="M247" s="5"/>
      <c r="N247" s="5"/>
      <c r="O247" s="5"/>
    </row>
    <row r="248" ht="15.75" customHeight="1">
      <c r="A248" s="5"/>
      <c r="B248" s="112"/>
      <c r="C248" s="112"/>
      <c r="D248" s="5"/>
      <c r="E248" s="5"/>
      <c r="F248" s="5"/>
      <c r="G248" s="5"/>
      <c r="H248" s="5"/>
      <c r="I248" s="5"/>
      <c r="J248" s="5"/>
      <c r="K248" s="5"/>
      <c r="L248" s="5"/>
      <c r="M248" s="5"/>
      <c r="N248" s="5"/>
      <c r="O248" s="5"/>
    </row>
    <row r="249" ht="15.75" customHeight="1">
      <c r="A249" s="5"/>
      <c r="B249" s="112"/>
      <c r="C249" s="112"/>
      <c r="D249" s="5"/>
      <c r="E249" s="5"/>
      <c r="F249" s="5"/>
      <c r="G249" s="5"/>
      <c r="H249" s="5"/>
      <c r="I249" s="5"/>
      <c r="J249" s="5"/>
      <c r="K249" s="5"/>
      <c r="L249" s="5"/>
      <c r="M249" s="5"/>
      <c r="N249" s="5"/>
      <c r="O249" s="5"/>
    </row>
    <row r="250" ht="15.75" customHeight="1">
      <c r="A250" s="5"/>
      <c r="B250" s="112"/>
      <c r="C250" s="112"/>
      <c r="D250" s="5"/>
      <c r="E250" s="5"/>
      <c r="F250" s="5"/>
      <c r="G250" s="5"/>
      <c r="H250" s="5"/>
      <c r="I250" s="5"/>
      <c r="J250" s="5"/>
      <c r="K250" s="5"/>
      <c r="L250" s="5"/>
      <c r="M250" s="5"/>
      <c r="N250" s="5"/>
      <c r="O250" s="5"/>
    </row>
    <row r="251" ht="15.75" customHeight="1">
      <c r="A251" s="5"/>
      <c r="B251" s="112"/>
      <c r="C251" s="112"/>
      <c r="D251" s="5"/>
      <c r="E251" s="5"/>
      <c r="F251" s="5"/>
      <c r="G251" s="5"/>
      <c r="H251" s="5"/>
      <c r="I251" s="5"/>
      <c r="J251" s="5"/>
      <c r="K251" s="5"/>
      <c r="L251" s="5"/>
      <c r="M251" s="5"/>
      <c r="N251" s="5"/>
      <c r="O251" s="5"/>
    </row>
    <row r="252" ht="15.75" customHeight="1">
      <c r="A252" s="5"/>
      <c r="B252" s="112"/>
      <c r="C252" s="112"/>
      <c r="D252" s="5"/>
      <c r="E252" s="5"/>
      <c r="F252" s="5"/>
      <c r="G252" s="5"/>
      <c r="H252" s="5"/>
      <c r="I252" s="5"/>
      <c r="J252" s="5"/>
      <c r="K252" s="5"/>
      <c r="L252" s="5"/>
      <c r="M252" s="5"/>
      <c r="N252" s="5"/>
      <c r="O252" s="5"/>
    </row>
    <row r="253" ht="15.75" customHeight="1">
      <c r="A253" s="5"/>
      <c r="B253" s="112"/>
      <c r="C253" s="112"/>
      <c r="D253" s="5"/>
      <c r="E253" s="5"/>
      <c r="F253" s="5"/>
      <c r="G253" s="5"/>
      <c r="H253" s="5"/>
      <c r="I253" s="5"/>
      <c r="J253" s="5"/>
      <c r="K253" s="5"/>
      <c r="L253" s="5"/>
      <c r="M253" s="5"/>
      <c r="N253" s="5"/>
      <c r="O253" s="5"/>
    </row>
    <row r="254" ht="15.75" customHeight="1">
      <c r="A254" s="5"/>
      <c r="B254" s="112"/>
      <c r="C254" s="112"/>
      <c r="D254" s="5"/>
      <c r="E254" s="5"/>
      <c r="F254" s="5"/>
      <c r="G254" s="5"/>
      <c r="H254" s="5"/>
      <c r="I254" s="5"/>
      <c r="J254" s="5"/>
      <c r="K254" s="5"/>
      <c r="L254" s="5"/>
      <c r="M254" s="5"/>
      <c r="N254" s="5"/>
      <c r="O254" s="5"/>
    </row>
    <row r="255" ht="15.75" customHeight="1">
      <c r="A255" s="5"/>
      <c r="B255" s="112"/>
      <c r="C255" s="112"/>
      <c r="D255" s="5"/>
      <c r="E255" s="5"/>
      <c r="F255" s="5"/>
      <c r="G255" s="5"/>
      <c r="H255" s="5"/>
      <c r="I255" s="5"/>
      <c r="J255" s="5"/>
      <c r="K255" s="5"/>
      <c r="L255" s="5"/>
      <c r="M255" s="5"/>
      <c r="N255" s="5"/>
      <c r="O255" s="5"/>
    </row>
    <row r="256" ht="15.75" customHeight="1">
      <c r="A256" s="5"/>
      <c r="B256" s="112"/>
      <c r="C256" s="112"/>
      <c r="D256" s="5"/>
      <c r="E256" s="5"/>
      <c r="F256" s="5"/>
      <c r="G256" s="5"/>
      <c r="H256" s="5"/>
      <c r="I256" s="5"/>
      <c r="J256" s="5"/>
      <c r="K256" s="5"/>
      <c r="L256" s="5"/>
      <c r="M256" s="5"/>
      <c r="N256" s="5"/>
      <c r="O256" s="5"/>
    </row>
    <row r="257" ht="15.75" customHeight="1">
      <c r="A257" s="5"/>
      <c r="B257" s="112"/>
      <c r="C257" s="112"/>
      <c r="D257" s="5"/>
      <c r="E257" s="5"/>
      <c r="F257" s="5"/>
      <c r="G257" s="5"/>
      <c r="H257" s="5"/>
      <c r="I257" s="5"/>
      <c r="J257" s="5"/>
      <c r="K257" s="5"/>
      <c r="L257" s="5"/>
      <c r="M257" s="5"/>
      <c r="N257" s="5"/>
      <c r="O257" s="5"/>
    </row>
    <row r="258" ht="15.75" customHeight="1">
      <c r="A258" s="5"/>
      <c r="B258" s="112"/>
      <c r="C258" s="112"/>
      <c r="D258" s="5"/>
      <c r="E258" s="5"/>
      <c r="F258" s="5"/>
      <c r="G258" s="5"/>
      <c r="H258" s="5"/>
      <c r="I258" s="5"/>
      <c r="J258" s="5"/>
      <c r="K258" s="5"/>
      <c r="L258" s="5"/>
      <c r="M258" s="5"/>
      <c r="N258" s="5"/>
      <c r="O258" s="5"/>
    </row>
    <row r="259" ht="15.75" customHeight="1">
      <c r="A259" s="5"/>
      <c r="B259" s="112"/>
      <c r="C259" s="112"/>
      <c r="D259" s="5"/>
      <c r="E259" s="5"/>
      <c r="F259" s="5"/>
      <c r="G259" s="5"/>
      <c r="H259" s="5"/>
      <c r="I259" s="5"/>
      <c r="J259" s="5"/>
      <c r="K259" s="5"/>
      <c r="L259" s="5"/>
      <c r="M259" s="5"/>
      <c r="N259" s="5"/>
      <c r="O259" s="5"/>
    </row>
    <row r="260" ht="15.75" customHeight="1">
      <c r="A260" s="5"/>
      <c r="B260" s="112"/>
      <c r="C260" s="112"/>
      <c r="D260" s="5"/>
      <c r="E260" s="5"/>
      <c r="F260" s="5"/>
      <c r="G260" s="5"/>
      <c r="H260" s="5"/>
      <c r="I260" s="5"/>
      <c r="J260" s="5"/>
      <c r="K260" s="5"/>
      <c r="L260" s="5"/>
      <c r="M260" s="5"/>
      <c r="N260" s="5"/>
      <c r="O260" s="5"/>
    </row>
    <row r="261" ht="15.75" customHeight="1">
      <c r="A261" s="5"/>
      <c r="B261" s="112"/>
      <c r="C261" s="112"/>
      <c r="D261" s="5"/>
      <c r="E261" s="5"/>
      <c r="F261" s="5"/>
      <c r="G261" s="5"/>
      <c r="H261" s="5"/>
      <c r="I261" s="5"/>
      <c r="J261" s="5"/>
      <c r="K261" s="5"/>
      <c r="L261" s="5"/>
      <c r="M261" s="5"/>
      <c r="N261" s="5"/>
      <c r="O261" s="5"/>
    </row>
    <row r="262" ht="15.75" customHeight="1">
      <c r="A262" s="5"/>
      <c r="B262" s="112"/>
      <c r="C262" s="112"/>
      <c r="D262" s="5"/>
      <c r="E262" s="5"/>
      <c r="F262" s="5"/>
      <c r="G262" s="5"/>
      <c r="H262" s="5"/>
      <c r="I262" s="5"/>
      <c r="J262" s="5"/>
      <c r="K262" s="5"/>
      <c r="L262" s="5"/>
      <c r="M262" s="5"/>
      <c r="N262" s="5"/>
      <c r="O262" s="5"/>
    </row>
    <row r="263" ht="15.75" customHeight="1">
      <c r="A263" s="5"/>
      <c r="B263" s="112"/>
      <c r="C263" s="112"/>
      <c r="D263" s="5"/>
      <c r="E263" s="5"/>
      <c r="F263" s="5"/>
      <c r="G263" s="5"/>
      <c r="H263" s="5"/>
      <c r="I263" s="5"/>
      <c r="J263" s="5"/>
      <c r="K263" s="5"/>
      <c r="L263" s="5"/>
      <c r="M263" s="5"/>
      <c r="N263" s="5"/>
      <c r="O263" s="5"/>
    </row>
    <row r="264" ht="15.75" customHeight="1">
      <c r="A264" s="5"/>
      <c r="B264" s="112"/>
      <c r="C264" s="112"/>
      <c r="D264" s="5"/>
      <c r="E264" s="5"/>
      <c r="F264" s="5"/>
      <c r="G264" s="5"/>
      <c r="H264" s="5"/>
      <c r="I264" s="5"/>
      <c r="J264" s="5"/>
      <c r="K264" s="5"/>
      <c r="L264" s="5"/>
      <c r="M264" s="5"/>
      <c r="N264" s="5"/>
      <c r="O264" s="5"/>
    </row>
    <row r="265" ht="15.75" customHeight="1">
      <c r="A265" s="5"/>
      <c r="B265" s="112"/>
      <c r="C265" s="112"/>
      <c r="D265" s="5"/>
      <c r="E265" s="5"/>
      <c r="F265" s="5"/>
      <c r="G265" s="5"/>
      <c r="H265" s="5"/>
      <c r="I265" s="5"/>
      <c r="J265" s="5"/>
      <c r="K265" s="5"/>
      <c r="L265" s="5"/>
      <c r="M265" s="5"/>
      <c r="N265" s="5"/>
      <c r="O265" s="5"/>
    </row>
    <row r="266" ht="15.75" customHeight="1">
      <c r="A266" s="5"/>
      <c r="B266" s="112"/>
      <c r="C266" s="112"/>
      <c r="D266" s="5"/>
      <c r="E266" s="5"/>
      <c r="F266" s="5"/>
      <c r="G266" s="5"/>
      <c r="H266" s="5"/>
      <c r="I266" s="5"/>
      <c r="J266" s="5"/>
      <c r="K266" s="5"/>
      <c r="L266" s="5"/>
      <c r="M266" s="5"/>
      <c r="N266" s="5"/>
      <c r="O266" s="5"/>
    </row>
    <row r="267" ht="15.75" customHeight="1">
      <c r="A267" s="5"/>
      <c r="B267" s="112"/>
      <c r="C267" s="112"/>
      <c r="D267" s="5"/>
      <c r="E267" s="5"/>
      <c r="F267" s="5"/>
      <c r="G267" s="5"/>
      <c r="H267" s="5"/>
      <c r="I267" s="5"/>
      <c r="J267" s="5"/>
      <c r="K267" s="5"/>
      <c r="L267" s="5"/>
      <c r="M267" s="5"/>
      <c r="N267" s="5"/>
      <c r="O267" s="5"/>
    </row>
    <row r="268" ht="15.75" customHeight="1">
      <c r="A268" s="5"/>
      <c r="B268" s="112"/>
      <c r="C268" s="112"/>
      <c r="D268" s="5"/>
      <c r="E268" s="5"/>
      <c r="F268" s="5"/>
      <c r="G268" s="5"/>
      <c r="H268" s="5"/>
      <c r="I268" s="5"/>
      <c r="J268" s="5"/>
      <c r="K268" s="5"/>
      <c r="L268" s="5"/>
      <c r="M268" s="5"/>
      <c r="N268" s="5"/>
      <c r="O268" s="5"/>
    </row>
    <row r="269" ht="15.75" customHeight="1">
      <c r="A269" s="5"/>
      <c r="B269" s="112"/>
      <c r="C269" s="112"/>
      <c r="D269" s="5"/>
      <c r="E269" s="5"/>
      <c r="F269" s="5"/>
      <c r="G269" s="5"/>
      <c r="H269" s="5"/>
      <c r="I269" s="5"/>
      <c r="J269" s="5"/>
      <c r="K269" s="5"/>
      <c r="L269" s="5"/>
      <c r="M269" s="5"/>
      <c r="N269" s="5"/>
      <c r="O269" s="5"/>
    </row>
    <row r="270" ht="15.75" customHeight="1">
      <c r="A270" s="5"/>
      <c r="B270" s="112"/>
      <c r="C270" s="112"/>
      <c r="D270" s="5"/>
      <c r="E270" s="5"/>
      <c r="F270" s="5"/>
      <c r="G270" s="5"/>
      <c r="H270" s="5"/>
      <c r="I270" s="5"/>
      <c r="J270" s="5"/>
      <c r="K270" s="5"/>
      <c r="L270" s="5"/>
      <c r="M270" s="5"/>
      <c r="N270" s="5"/>
      <c r="O270" s="5"/>
    </row>
    <row r="271" ht="15.75" customHeight="1">
      <c r="A271" s="5"/>
      <c r="B271" s="112"/>
      <c r="C271" s="112"/>
      <c r="D271" s="5"/>
      <c r="E271" s="5"/>
      <c r="F271" s="5"/>
      <c r="G271" s="5"/>
      <c r="H271" s="5"/>
      <c r="I271" s="5"/>
      <c r="J271" s="5"/>
      <c r="K271" s="5"/>
      <c r="L271" s="5"/>
      <c r="M271" s="5"/>
      <c r="N271" s="5"/>
      <c r="O271" s="5"/>
    </row>
    <row r="272" ht="15.75" customHeight="1">
      <c r="A272" s="5"/>
      <c r="B272" s="112"/>
      <c r="C272" s="112"/>
      <c r="D272" s="5"/>
      <c r="E272" s="5"/>
      <c r="F272" s="5"/>
      <c r="G272" s="5"/>
      <c r="H272" s="5"/>
      <c r="I272" s="5"/>
      <c r="J272" s="5"/>
      <c r="K272" s="5"/>
      <c r="L272" s="5"/>
      <c r="M272" s="5"/>
      <c r="N272" s="5"/>
      <c r="O272" s="5"/>
    </row>
    <row r="273" ht="15.75" customHeight="1">
      <c r="A273" s="5"/>
      <c r="B273" s="112"/>
      <c r="C273" s="112"/>
      <c r="D273" s="5"/>
      <c r="E273" s="5"/>
      <c r="F273" s="5"/>
      <c r="G273" s="5"/>
      <c r="H273" s="5"/>
      <c r="I273" s="5"/>
      <c r="J273" s="5"/>
      <c r="K273" s="5"/>
      <c r="L273" s="5"/>
      <c r="M273" s="5"/>
      <c r="N273" s="5"/>
      <c r="O273" s="5"/>
    </row>
    <row r="274" ht="15.75" customHeight="1">
      <c r="A274" s="5"/>
      <c r="B274" s="112"/>
      <c r="C274" s="112"/>
      <c r="D274" s="5"/>
      <c r="E274" s="5"/>
      <c r="F274" s="5"/>
      <c r="G274" s="5"/>
      <c r="H274" s="5"/>
      <c r="I274" s="5"/>
      <c r="J274" s="5"/>
      <c r="K274" s="5"/>
      <c r="L274" s="5"/>
      <c r="M274" s="5"/>
      <c r="N274" s="5"/>
      <c r="O274" s="5"/>
    </row>
    <row r="275" ht="15.75" customHeight="1">
      <c r="A275" s="5"/>
      <c r="B275" s="112"/>
      <c r="C275" s="112"/>
      <c r="D275" s="5"/>
      <c r="E275" s="5"/>
      <c r="F275" s="5"/>
      <c r="G275" s="5"/>
      <c r="H275" s="5"/>
      <c r="I275" s="5"/>
      <c r="J275" s="5"/>
      <c r="K275" s="5"/>
      <c r="L275" s="5"/>
      <c r="M275" s="5"/>
      <c r="N275" s="5"/>
      <c r="O275" s="5"/>
    </row>
    <row r="276" ht="15.75" customHeight="1">
      <c r="A276" s="5"/>
      <c r="B276" s="112"/>
      <c r="C276" s="112"/>
      <c r="D276" s="5"/>
      <c r="E276" s="5"/>
      <c r="F276" s="5"/>
      <c r="G276" s="5"/>
      <c r="H276" s="5"/>
      <c r="I276" s="5"/>
      <c r="J276" s="5"/>
      <c r="K276" s="5"/>
      <c r="L276" s="5"/>
      <c r="M276" s="5"/>
      <c r="N276" s="5"/>
      <c r="O276" s="5"/>
    </row>
    <row r="277" ht="15.75" customHeight="1">
      <c r="A277" s="5"/>
      <c r="B277" s="112"/>
      <c r="C277" s="112"/>
      <c r="D277" s="5"/>
      <c r="E277" s="5"/>
      <c r="F277" s="5"/>
      <c r="G277" s="5"/>
      <c r="H277" s="5"/>
      <c r="I277" s="5"/>
      <c r="J277" s="5"/>
      <c r="K277" s="5"/>
      <c r="L277" s="5"/>
      <c r="M277" s="5"/>
      <c r="N277" s="5"/>
      <c r="O277" s="5"/>
    </row>
    <row r="278" ht="15.75" customHeight="1">
      <c r="A278" s="5"/>
      <c r="B278" s="112"/>
      <c r="C278" s="112"/>
      <c r="D278" s="5"/>
      <c r="E278" s="5"/>
      <c r="F278" s="5"/>
      <c r="G278" s="5"/>
      <c r="H278" s="5"/>
      <c r="I278" s="5"/>
      <c r="J278" s="5"/>
      <c r="K278" s="5"/>
      <c r="L278" s="5"/>
      <c r="M278" s="5"/>
      <c r="N278" s="5"/>
      <c r="O278" s="5"/>
    </row>
    <row r="279" ht="15.75" customHeight="1">
      <c r="A279" s="5"/>
      <c r="B279" s="112"/>
      <c r="C279" s="112"/>
      <c r="D279" s="5"/>
      <c r="E279" s="5"/>
      <c r="F279" s="5"/>
      <c r="G279" s="5"/>
      <c r="H279" s="5"/>
      <c r="I279" s="5"/>
      <c r="J279" s="5"/>
      <c r="K279" s="5"/>
      <c r="L279" s="5"/>
      <c r="M279" s="5"/>
      <c r="N279" s="5"/>
      <c r="O279" s="5"/>
    </row>
    <row r="280" ht="15.75" customHeight="1">
      <c r="A280" s="5"/>
      <c r="B280" s="112"/>
      <c r="C280" s="112"/>
      <c r="D280" s="5"/>
      <c r="E280" s="5"/>
      <c r="F280" s="5"/>
      <c r="G280" s="5"/>
      <c r="H280" s="5"/>
      <c r="I280" s="5"/>
      <c r="J280" s="5"/>
      <c r="K280" s="5"/>
      <c r="L280" s="5"/>
      <c r="M280" s="5"/>
      <c r="N280" s="5"/>
      <c r="O280" s="5"/>
    </row>
    <row r="281" ht="15.75" customHeight="1">
      <c r="A281" s="5"/>
      <c r="B281" s="112"/>
      <c r="C281" s="112"/>
      <c r="D281" s="5"/>
      <c r="E281" s="5"/>
      <c r="F281" s="5"/>
      <c r="G281" s="5"/>
      <c r="H281" s="5"/>
      <c r="I281" s="5"/>
      <c r="J281" s="5"/>
      <c r="K281" s="5"/>
      <c r="L281" s="5"/>
      <c r="M281" s="5"/>
      <c r="N281" s="5"/>
      <c r="O281" s="5"/>
    </row>
    <row r="282" ht="15.75" customHeight="1">
      <c r="A282" s="5"/>
      <c r="B282" s="112"/>
      <c r="C282" s="112"/>
      <c r="D282" s="5"/>
      <c r="E282" s="5"/>
      <c r="F282" s="5"/>
      <c r="G282" s="5"/>
      <c r="H282" s="5"/>
      <c r="I282" s="5"/>
      <c r="J282" s="5"/>
      <c r="K282" s="5"/>
      <c r="L282" s="5"/>
      <c r="M282" s="5"/>
      <c r="N282" s="5"/>
      <c r="O282" s="5"/>
    </row>
    <row r="283" ht="15.75" customHeight="1">
      <c r="A283" s="5"/>
      <c r="B283" s="112"/>
      <c r="C283" s="112"/>
      <c r="D283" s="5"/>
      <c r="E283" s="5"/>
      <c r="F283" s="5"/>
      <c r="G283" s="5"/>
      <c r="H283" s="5"/>
      <c r="I283" s="5"/>
      <c r="J283" s="5"/>
      <c r="K283" s="5"/>
      <c r="L283" s="5"/>
      <c r="M283" s="5"/>
      <c r="N283" s="5"/>
      <c r="O283" s="5"/>
    </row>
    <row r="284" ht="15.75" customHeight="1">
      <c r="A284" s="5"/>
      <c r="B284" s="112"/>
      <c r="C284" s="112"/>
      <c r="D284" s="5"/>
      <c r="E284" s="5"/>
      <c r="F284" s="5"/>
      <c r="G284" s="5"/>
      <c r="H284" s="5"/>
      <c r="I284" s="5"/>
      <c r="J284" s="5"/>
      <c r="K284" s="5"/>
      <c r="L284" s="5"/>
      <c r="M284" s="5"/>
      <c r="N284" s="5"/>
      <c r="O284" s="5"/>
    </row>
    <row r="285" ht="15.75" customHeight="1">
      <c r="A285" s="5"/>
      <c r="B285" s="112"/>
      <c r="C285" s="112"/>
      <c r="D285" s="5"/>
      <c r="E285" s="5"/>
      <c r="F285" s="5"/>
      <c r="G285" s="5"/>
      <c r="H285" s="5"/>
      <c r="I285" s="5"/>
      <c r="J285" s="5"/>
      <c r="K285" s="5"/>
      <c r="L285" s="5"/>
      <c r="M285" s="5"/>
      <c r="N285" s="5"/>
      <c r="O285" s="5"/>
    </row>
    <row r="286" ht="15.75" customHeight="1">
      <c r="A286" s="5"/>
      <c r="B286" s="112"/>
      <c r="C286" s="112"/>
      <c r="D286" s="5"/>
      <c r="E286" s="5"/>
      <c r="F286" s="5"/>
      <c r="G286" s="5"/>
      <c r="H286" s="5"/>
      <c r="I286" s="5"/>
      <c r="J286" s="5"/>
      <c r="K286" s="5"/>
      <c r="L286" s="5"/>
      <c r="M286" s="5"/>
      <c r="N286" s="5"/>
      <c r="O286" s="5"/>
    </row>
    <row r="287" ht="15.75" customHeight="1">
      <c r="A287" s="5"/>
      <c r="B287" s="112"/>
      <c r="C287" s="112"/>
      <c r="D287" s="5"/>
      <c r="E287" s="5"/>
      <c r="F287" s="5"/>
      <c r="G287" s="5"/>
      <c r="H287" s="5"/>
      <c r="I287" s="5"/>
      <c r="J287" s="5"/>
      <c r="K287" s="5"/>
      <c r="L287" s="5"/>
      <c r="M287" s="5"/>
      <c r="N287" s="5"/>
      <c r="O287" s="5"/>
    </row>
    <row r="288" ht="15.75" customHeight="1">
      <c r="A288" s="5"/>
      <c r="B288" s="112"/>
      <c r="C288" s="112"/>
      <c r="D288" s="5"/>
      <c r="E288" s="5"/>
      <c r="F288" s="5"/>
      <c r="G288" s="5"/>
      <c r="H288" s="5"/>
      <c r="I288" s="5"/>
      <c r="J288" s="5"/>
      <c r="K288" s="5"/>
      <c r="L288" s="5"/>
      <c r="M288" s="5"/>
      <c r="N288" s="5"/>
      <c r="O288" s="5"/>
    </row>
    <row r="289" ht="15.75" customHeight="1">
      <c r="A289" s="5"/>
      <c r="B289" s="112"/>
      <c r="C289" s="112"/>
      <c r="D289" s="5"/>
      <c r="E289" s="5"/>
      <c r="F289" s="5"/>
      <c r="G289" s="5"/>
      <c r="H289" s="5"/>
      <c r="I289" s="5"/>
      <c r="J289" s="5"/>
      <c r="K289" s="5"/>
      <c r="L289" s="5"/>
      <c r="M289" s="5"/>
      <c r="N289" s="5"/>
      <c r="O289" s="5"/>
    </row>
    <row r="290" ht="15.75" customHeight="1">
      <c r="A290" s="5"/>
      <c r="B290" s="112"/>
      <c r="C290" s="112"/>
      <c r="D290" s="5"/>
      <c r="E290" s="5"/>
      <c r="F290" s="5"/>
      <c r="G290" s="5"/>
      <c r="H290" s="5"/>
      <c r="I290" s="5"/>
      <c r="J290" s="5"/>
      <c r="K290" s="5"/>
      <c r="L290" s="5"/>
      <c r="M290" s="5"/>
      <c r="N290" s="5"/>
      <c r="O290" s="5"/>
    </row>
    <row r="291" ht="15.75" customHeight="1">
      <c r="A291" s="5"/>
      <c r="B291" s="112"/>
      <c r="C291" s="112"/>
      <c r="D291" s="5"/>
      <c r="E291" s="5"/>
      <c r="F291" s="5"/>
      <c r="G291" s="5"/>
      <c r="H291" s="5"/>
      <c r="I291" s="5"/>
      <c r="J291" s="5"/>
      <c r="K291" s="5"/>
      <c r="L291" s="5"/>
      <c r="M291" s="5"/>
      <c r="N291" s="5"/>
      <c r="O291" s="5"/>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A41:J41"/>
    <mergeCell ref="A42:K42"/>
    <mergeCell ref="A43:J43"/>
    <mergeCell ref="A44:J44"/>
    <mergeCell ref="A45:K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89:K89"/>
    <mergeCell ref="A90:K90"/>
    <mergeCell ref="A91:K91"/>
    <mergeCell ref="A63:J63"/>
    <mergeCell ref="A64:I64"/>
    <mergeCell ref="A65:I65"/>
    <mergeCell ref="A66:J66"/>
    <mergeCell ref="A86:K86"/>
    <mergeCell ref="A87:K87"/>
    <mergeCell ref="A88:K88"/>
    <mergeCell ref="A1:C2"/>
    <mergeCell ref="D1:K1"/>
    <mergeCell ref="D2:K2"/>
    <mergeCell ref="A4:C4"/>
    <mergeCell ref="D4:K4"/>
    <mergeCell ref="A5:C5"/>
    <mergeCell ref="D5:K5"/>
    <mergeCell ref="H10:K10"/>
    <mergeCell ref="H11:K11"/>
    <mergeCell ref="A6:C6"/>
    <mergeCell ref="D6:K6"/>
    <mergeCell ref="A7:C7"/>
    <mergeCell ref="D7:K7"/>
    <mergeCell ref="H9:K9"/>
    <mergeCell ref="A10:C10"/>
    <mergeCell ref="A11:C11"/>
    <mergeCell ref="A12:C12"/>
    <mergeCell ref="H12:K12"/>
    <mergeCell ref="A14:B14"/>
    <mergeCell ref="C14:D14"/>
    <mergeCell ref="E14:F14"/>
    <mergeCell ref="G14:H14"/>
    <mergeCell ref="I14:K14"/>
    <mergeCell ref="A17:J17"/>
    <mergeCell ref="A18:K18"/>
    <mergeCell ref="A19:J19"/>
    <mergeCell ref="A20:J20"/>
    <mergeCell ref="A21:J21"/>
    <mergeCell ref="A22:J22"/>
    <mergeCell ref="A23:K23"/>
    <mergeCell ref="A24:J24"/>
    <mergeCell ref="A25:J25"/>
    <mergeCell ref="A26:J26"/>
    <mergeCell ref="A27:J27"/>
    <mergeCell ref="A28:J28"/>
    <mergeCell ref="A29:K29"/>
    <mergeCell ref="A30:J30"/>
    <mergeCell ref="A31:J31"/>
    <mergeCell ref="A32:J32"/>
    <mergeCell ref="A33:J33"/>
    <mergeCell ref="A34:K34"/>
    <mergeCell ref="A35:J35"/>
    <mergeCell ref="A36:J36"/>
    <mergeCell ref="A37:J37"/>
  </mergeCells>
  <conditionalFormatting sqref="K19 K21:K22 K24:K28 K30:K33 K35:K36 K43:K44 K46:K50 K52:K54 K56:K57 K59:K60 K64:K65">
    <cfRule type="containsText" dxfId="3" priority="1" operator="containsText" text="C-">
      <formula>NOT(ISERROR(SEARCH(("C-"),(K19))))</formula>
    </cfRule>
  </conditionalFormatting>
  <conditionalFormatting sqref="K19 K21:K22 K24:K28 K30:K33 K35:K36 K43:K44 K46:K50 K52:K54 K56:K57 K59:K60 K64:K65">
    <cfRule type="containsText" dxfId="4" priority="2" operator="containsText" text="C+">
      <formula>NOT(ISERROR(SEARCH(("C+"),(K19))))</formula>
    </cfRule>
  </conditionalFormatting>
  <conditionalFormatting sqref="K19 K21:K22 K24:K28 K30:K33 K35:K36 K43:K44 K46:K50 K52:K54 K56:K57 K59:K60 K64:K65">
    <cfRule type="containsText" dxfId="5" priority="3" operator="containsText" text="B">
      <formula>NOT(ISERROR(SEARCH(("B"),(K19))))</formula>
    </cfRule>
  </conditionalFormatting>
  <conditionalFormatting sqref="K19 K21:K22 K24:K28 K30:K33 K35:K36 K43:K44 K46:K50 K52:K54 K56:K57 K59:K60 K64:K65">
    <cfRule type="containsText" dxfId="2" priority="4" operator="containsText" text="D">
      <formula>NOT(ISERROR(SEARCH(("D"),(K19))))</formula>
    </cfRule>
  </conditionalFormatting>
  <conditionalFormatting sqref="K19 K21:K22 K24:K28 K30:K33 K35:K36 K43:K44 K46:K50 K52:K54 K56:K57 K59:K60 K64:K65">
    <cfRule type="containsText" dxfId="8" priority="5" operator="containsText" text="C-">
      <formula>NOT(ISERROR(SEARCH(("C-"),(K19))))</formula>
    </cfRule>
  </conditionalFormatting>
  <conditionalFormatting sqref="K19 K21:K22 K24:K28 K30:K33 K35:K36 K43:K44 K46:K50 K52:K54 K56:K57 K59:K60 K64:K65">
    <cfRule type="containsText" dxfId="9" priority="6" operator="containsText" text="C+">
      <formula>NOT(ISERROR(SEARCH(("C+"),(K19))))</formula>
    </cfRule>
  </conditionalFormatting>
  <conditionalFormatting sqref="K19 K21:K22 K24:K28 K30:K33 K35:K36 K43:K44 K46:K50 K52:K54 K56:K57 K59:K60 K64:K65">
    <cfRule type="containsText" dxfId="10" priority="7" operator="containsText" text="B">
      <formula>NOT(ISERROR(SEARCH(("B"),(K19))))</formula>
    </cfRule>
  </conditionalFormatting>
  <conditionalFormatting sqref="K19 K21:K22 K24:K28 K30:K33 K35:K36 K43:K44 K46:K50 K52:K54 K56:K57 K59:K60 K64:K65">
    <cfRule type="containsText" dxfId="6" priority="8" operator="containsText" text="A">
      <formula>NOT(ISERROR(SEARCH(("A"),(K19))))</formula>
    </cfRule>
  </conditionalFormatting>
  <conditionalFormatting sqref="A15:K15 B107:C107 K19 K21:K22 K24:K28 K30:K33 K35:K37 K43:K44 K46:K50 K52:K54 K56:K57 K59:K61 K64:K66">
    <cfRule type="colorScale" priority="9">
      <colorScale>
        <cfvo type="formula" val="0"/>
        <cfvo type="formula" val="5"/>
        <cfvo type="formula" val="10"/>
        <color rgb="FFF8696B"/>
        <color rgb="FFFFEB84"/>
        <color rgb="FF63BE7B"/>
      </colorScale>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71"/>
    <col customWidth="1" min="2" max="2" width="144.71"/>
    <col customWidth="1" min="5" max="5" width="161.43"/>
    <col customWidth="1" min="8" max="8" width="160.86"/>
  </cols>
  <sheetData>
    <row r="1" ht="15.0" customHeight="1">
      <c r="B1" s="250" t="s">
        <v>10</v>
      </c>
      <c r="E1" s="250" t="s">
        <v>11</v>
      </c>
      <c r="H1" s="250" t="s">
        <v>12</v>
      </c>
    </row>
    <row r="2">
      <c r="A2" s="61"/>
      <c r="B2" s="251" t="s">
        <v>13</v>
      </c>
      <c r="D2" s="61"/>
      <c r="E2" s="251" t="s">
        <v>14</v>
      </c>
      <c r="G2" s="61"/>
      <c r="H2" s="251" t="s">
        <v>15</v>
      </c>
    </row>
    <row r="3">
      <c r="A3" s="252" t="s">
        <v>2</v>
      </c>
      <c r="B3" s="253" t="s">
        <v>16</v>
      </c>
      <c r="D3" s="252" t="s">
        <v>2</v>
      </c>
      <c r="E3" s="253" t="s">
        <v>17</v>
      </c>
      <c r="G3" s="252" t="s">
        <v>2</v>
      </c>
      <c r="H3" s="253" t="s">
        <v>18</v>
      </c>
    </row>
    <row r="4">
      <c r="A4" s="254" t="s">
        <v>3</v>
      </c>
      <c r="B4" s="255" t="s">
        <v>19</v>
      </c>
      <c r="D4" s="254" t="s">
        <v>3</v>
      </c>
      <c r="E4" s="255" t="s">
        <v>20</v>
      </c>
      <c r="G4" s="254" t="s">
        <v>3</v>
      </c>
      <c r="H4" s="255" t="s">
        <v>21</v>
      </c>
    </row>
    <row r="5">
      <c r="A5" s="256" t="s">
        <v>4</v>
      </c>
      <c r="B5" s="253" t="s">
        <v>22</v>
      </c>
      <c r="D5" s="256" t="s">
        <v>4</v>
      </c>
      <c r="E5" s="253" t="s">
        <v>23</v>
      </c>
      <c r="G5" s="256" t="s">
        <v>4</v>
      </c>
      <c r="H5" s="253" t="s">
        <v>24</v>
      </c>
    </row>
    <row r="6">
      <c r="A6" s="254" t="s">
        <v>5</v>
      </c>
      <c r="B6" s="255" t="s">
        <v>25</v>
      </c>
      <c r="D6" s="254" t="s">
        <v>5</v>
      </c>
      <c r="E6" s="255" t="s">
        <v>26</v>
      </c>
      <c r="G6" s="254" t="s">
        <v>5</v>
      </c>
      <c r="H6" s="255" t="s">
        <v>27</v>
      </c>
    </row>
    <row r="7">
      <c r="A7" s="256" t="s">
        <v>6</v>
      </c>
      <c r="B7" s="253" t="s">
        <v>28</v>
      </c>
      <c r="D7" s="256" t="s">
        <v>6</v>
      </c>
      <c r="E7" s="253" t="s">
        <v>29</v>
      </c>
      <c r="G7" s="256" t="s">
        <v>6</v>
      </c>
      <c r="H7" s="253" t="s">
        <v>30</v>
      </c>
    </row>
    <row r="8">
      <c r="B8" s="257"/>
      <c r="E8" s="257"/>
      <c r="H8" s="257"/>
    </row>
    <row r="9" ht="15.0" customHeight="1">
      <c r="B9" s="258" t="s">
        <v>31</v>
      </c>
      <c r="E9" s="258" t="s">
        <v>32</v>
      </c>
      <c r="H9" s="258" t="s">
        <v>33</v>
      </c>
    </row>
    <row r="10">
      <c r="B10" s="251" t="s">
        <v>34</v>
      </c>
      <c r="E10" s="251" t="s">
        <v>35</v>
      </c>
      <c r="H10" s="251" t="s">
        <v>36</v>
      </c>
    </row>
    <row r="11">
      <c r="A11" s="259" t="s">
        <v>2</v>
      </c>
      <c r="B11" s="260" t="s">
        <v>37</v>
      </c>
      <c r="D11" s="259" t="s">
        <v>2</v>
      </c>
      <c r="E11" s="260" t="s">
        <v>38</v>
      </c>
      <c r="G11" s="259" t="s">
        <v>2</v>
      </c>
      <c r="H11" s="260" t="s">
        <v>39</v>
      </c>
    </row>
    <row r="12">
      <c r="A12" s="261" t="s">
        <v>3</v>
      </c>
      <c r="B12" s="262" t="s">
        <v>40</v>
      </c>
      <c r="D12" s="261" t="s">
        <v>3</v>
      </c>
      <c r="E12" s="263" t="s">
        <v>41</v>
      </c>
      <c r="G12" s="261" t="s">
        <v>3</v>
      </c>
      <c r="H12" s="263" t="s">
        <v>42</v>
      </c>
    </row>
    <row r="13">
      <c r="A13" s="264" t="s">
        <v>4</v>
      </c>
      <c r="B13" s="260" t="s">
        <v>43</v>
      </c>
      <c r="D13" s="264" t="s">
        <v>4</v>
      </c>
      <c r="E13" s="260" t="s">
        <v>44</v>
      </c>
      <c r="G13" s="264" t="s">
        <v>4</v>
      </c>
      <c r="H13" s="260" t="s">
        <v>45</v>
      </c>
    </row>
    <row r="14">
      <c r="A14" s="261" t="s">
        <v>5</v>
      </c>
      <c r="B14" s="262" t="s">
        <v>46</v>
      </c>
      <c r="D14" s="261" t="s">
        <v>5</v>
      </c>
      <c r="E14" s="262" t="s">
        <v>47</v>
      </c>
      <c r="G14" s="261" t="s">
        <v>5</v>
      </c>
      <c r="H14" s="262" t="s">
        <v>48</v>
      </c>
    </row>
    <row r="15">
      <c r="A15" s="264" t="s">
        <v>6</v>
      </c>
      <c r="B15" s="260" t="s">
        <v>49</v>
      </c>
      <c r="D15" s="264" t="s">
        <v>6</v>
      </c>
      <c r="E15" s="260" t="s">
        <v>50</v>
      </c>
      <c r="G15" s="264" t="s">
        <v>6</v>
      </c>
      <c r="H15" s="260" t="s">
        <v>51</v>
      </c>
    </row>
    <row r="16">
      <c r="B16" s="257"/>
      <c r="E16" s="257"/>
      <c r="H16" s="257"/>
    </row>
    <row r="17">
      <c r="B17" s="251" t="s">
        <v>52</v>
      </c>
      <c r="E17" s="251" t="s">
        <v>53</v>
      </c>
      <c r="H17" s="251" t="s">
        <v>54</v>
      </c>
    </row>
    <row r="18">
      <c r="A18" s="259" t="s">
        <v>2</v>
      </c>
      <c r="B18" s="260" t="s">
        <v>55</v>
      </c>
      <c r="D18" s="259" t="s">
        <v>2</v>
      </c>
      <c r="E18" s="260" t="s">
        <v>56</v>
      </c>
      <c r="G18" s="259" t="s">
        <v>2</v>
      </c>
      <c r="H18" s="260" t="s">
        <v>57</v>
      </c>
    </row>
    <row r="19">
      <c r="A19" s="261" t="s">
        <v>3</v>
      </c>
      <c r="B19" s="263" t="s">
        <v>58</v>
      </c>
      <c r="D19" s="261" t="s">
        <v>3</v>
      </c>
      <c r="E19" s="263" t="s">
        <v>59</v>
      </c>
      <c r="G19" s="261" t="s">
        <v>3</v>
      </c>
      <c r="H19" s="263" t="s">
        <v>60</v>
      </c>
    </row>
    <row r="20">
      <c r="A20" s="264" t="s">
        <v>4</v>
      </c>
      <c r="B20" s="260" t="s">
        <v>61</v>
      </c>
      <c r="D20" s="264" t="s">
        <v>4</v>
      </c>
      <c r="E20" s="260" t="s">
        <v>62</v>
      </c>
      <c r="G20" s="264" t="s">
        <v>4</v>
      </c>
      <c r="H20" s="260" t="s">
        <v>63</v>
      </c>
    </row>
    <row r="21" ht="15.75" customHeight="1">
      <c r="A21" s="261" t="s">
        <v>5</v>
      </c>
      <c r="B21" s="262" t="s">
        <v>64</v>
      </c>
      <c r="D21" s="261" t="s">
        <v>5</v>
      </c>
      <c r="E21" s="262" t="s">
        <v>65</v>
      </c>
      <c r="G21" s="261" t="s">
        <v>5</v>
      </c>
      <c r="H21" s="262" t="s">
        <v>66</v>
      </c>
    </row>
    <row r="22" ht="15.75" customHeight="1">
      <c r="A22" s="264" t="s">
        <v>6</v>
      </c>
      <c r="B22" s="260" t="s">
        <v>67</v>
      </c>
      <c r="D22" s="264" t="s">
        <v>6</v>
      </c>
      <c r="E22" s="260" t="s">
        <v>68</v>
      </c>
      <c r="G22" s="264" t="s">
        <v>6</v>
      </c>
      <c r="H22" s="260" t="s">
        <v>69</v>
      </c>
    </row>
    <row r="23" ht="15.75" customHeight="1">
      <c r="B23" s="257"/>
      <c r="E23" s="257"/>
      <c r="H23" s="257"/>
    </row>
    <row r="24" ht="15.0" customHeight="1">
      <c r="B24" s="265" t="s">
        <v>70</v>
      </c>
      <c r="E24" s="265" t="s">
        <v>71</v>
      </c>
      <c r="H24" s="265" t="s">
        <v>72</v>
      </c>
    </row>
    <row r="25" ht="15.75" customHeight="1">
      <c r="B25" s="251" t="s">
        <v>73</v>
      </c>
      <c r="E25" s="251" t="s">
        <v>74</v>
      </c>
      <c r="H25" s="251" t="s">
        <v>75</v>
      </c>
    </row>
    <row r="26" ht="15.75" customHeight="1">
      <c r="A26" s="266" t="s">
        <v>2</v>
      </c>
      <c r="B26" s="267" t="s">
        <v>76</v>
      </c>
      <c r="D26" s="266" t="s">
        <v>2</v>
      </c>
      <c r="E26" s="267" t="s">
        <v>77</v>
      </c>
      <c r="G26" s="266" t="s">
        <v>2</v>
      </c>
      <c r="H26" s="267" t="s">
        <v>78</v>
      </c>
    </row>
    <row r="27" ht="15.75" customHeight="1">
      <c r="A27" s="268" t="s">
        <v>3</v>
      </c>
      <c r="B27" s="269" t="s">
        <v>79</v>
      </c>
      <c r="D27" s="268" t="s">
        <v>3</v>
      </c>
      <c r="E27" s="269" t="s">
        <v>80</v>
      </c>
      <c r="G27" s="268" t="s">
        <v>3</v>
      </c>
      <c r="H27" s="269" t="s">
        <v>81</v>
      </c>
    </row>
    <row r="28" ht="15.75" customHeight="1">
      <c r="A28" s="270" t="s">
        <v>4</v>
      </c>
      <c r="B28" s="267" t="s">
        <v>82</v>
      </c>
      <c r="D28" s="270" t="s">
        <v>4</v>
      </c>
      <c r="E28" s="267" t="s">
        <v>83</v>
      </c>
      <c r="G28" s="270" t="s">
        <v>4</v>
      </c>
      <c r="H28" s="267" t="s">
        <v>84</v>
      </c>
    </row>
    <row r="29" ht="15.75" customHeight="1">
      <c r="A29" s="268" t="s">
        <v>5</v>
      </c>
      <c r="B29" s="269" t="s">
        <v>85</v>
      </c>
      <c r="D29" s="268" t="s">
        <v>5</v>
      </c>
      <c r="E29" s="269" t="s">
        <v>86</v>
      </c>
      <c r="G29" s="268" t="s">
        <v>5</v>
      </c>
      <c r="H29" s="269" t="s">
        <v>87</v>
      </c>
    </row>
    <row r="30" ht="15.75" customHeight="1">
      <c r="A30" s="270" t="s">
        <v>6</v>
      </c>
      <c r="B30" s="267" t="s">
        <v>88</v>
      </c>
      <c r="D30" s="270" t="s">
        <v>6</v>
      </c>
      <c r="E30" s="267" t="s">
        <v>89</v>
      </c>
      <c r="G30" s="270" t="s">
        <v>6</v>
      </c>
      <c r="H30" s="267" t="s">
        <v>90</v>
      </c>
    </row>
    <row r="31" ht="15.75" customHeight="1">
      <c r="B31" s="257"/>
      <c r="E31" s="257"/>
      <c r="H31" s="257"/>
    </row>
    <row r="32" ht="15.75" customHeight="1">
      <c r="B32" s="251" t="s">
        <v>91</v>
      </c>
      <c r="E32" s="251" t="s">
        <v>92</v>
      </c>
      <c r="H32" s="251" t="s">
        <v>93</v>
      </c>
    </row>
    <row r="33" ht="15.75" customHeight="1">
      <c r="A33" s="266" t="s">
        <v>2</v>
      </c>
      <c r="B33" s="267" t="s">
        <v>94</v>
      </c>
      <c r="D33" s="266" t="s">
        <v>2</v>
      </c>
      <c r="E33" s="271" t="s">
        <v>95</v>
      </c>
      <c r="G33" s="266" t="s">
        <v>2</v>
      </c>
      <c r="H33" s="271" t="s">
        <v>96</v>
      </c>
    </row>
    <row r="34" ht="15.75" customHeight="1">
      <c r="A34" s="268" t="s">
        <v>3</v>
      </c>
      <c r="B34" s="269" t="s">
        <v>97</v>
      </c>
      <c r="D34" s="268" t="s">
        <v>3</v>
      </c>
      <c r="E34" s="272" t="s">
        <v>98</v>
      </c>
      <c r="G34" s="268" t="s">
        <v>3</v>
      </c>
      <c r="H34" s="272" t="s">
        <v>99</v>
      </c>
    </row>
    <row r="35" ht="15.75" customHeight="1">
      <c r="A35" s="270" t="s">
        <v>4</v>
      </c>
      <c r="B35" s="267" t="s">
        <v>100</v>
      </c>
      <c r="D35" s="270" t="s">
        <v>4</v>
      </c>
      <c r="E35" s="271" t="s">
        <v>101</v>
      </c>
      <c r="G35" s="270" t="s">
        <v>4</v>
      </c>
      <c r="H35" s="271" t="s">
        <v>102</v>
      </c>
    </row>
    <row r="36" ht="15.75" customHeight="1">
      <c r="A36" s="268" t="s">
        <v>5</v>
      </c>
      <c r="B36" s="269" t="s">
        <v>103</v>
      </c>
      <c r="D36" s="268" t="s">
        <v>5</v>
      </c>
      <c r="E36" s="272" t="s">
        <v>104</v>
      </c>
      <c r="G36" s="268" t="s">
        <v>5</v>
      </c>
      <c r="H36" s="272" t="s">
        <v>105</v>
      </c>
    </row>
    <row r="37" ht="15.75" customHeight="1">
      <c r="A37" s="270" t="s">
        <v>6</v>
      </c>
      <c r="B37" s="267" t="s">
        <v>106</v>
      </c>
      <c r="D37" s="270" t="s">
        <v>6</v>
      </c>
      <c r="E37" s="271" t="s">
        <v>107</v>
      </c>
      <c r="G37" s="270" t="s">
        <v>6</v>
      </c>
      <c r="H37" s="271" t="s">
        <v>108</v>
      </c>
    </row>
    <row r="38" ht="15.75" customHeight="1">
      <c r="B38" s="257"/>
      <c r="E38" s="257"/>
      <c r="H38" s="257"/>
    </row>
    <row r="39" ht="15.75" customHeight="1">
      <c r="B39" s="251" t="s">
        <v>109</v>
      </c>
      <c r="E39" s="251" t="s">
        <v>110</v>
      </c>
      <c r="H39" s="251" t="s">
        <v>111</v>
      </c>
    </row>
    <row r="40" ht="15.75" customHeight="1">
      <c r="A40" s="266" t="s">
        <v>2</v>
      </c>
      <c r="B40" s="267" t="s">
        <v>112</v>
      </c>
      <c r="D40" s="266" t="s">
        <v>2</v>
      </c>
      <c r="E40" s="267" t="s">
        <v>113</v>
      </c>
      <c r="G40" s="266" t="s">
        <v>2</v>
      </c>
      <c r="H40" s="267" t="s">
        <v>114</v>
      </c>
    </row>
    <row r="41" ht="15.75" customHeight="1">
      <c r="A41" s="268" t="s">
        <v>3</v>
      </c>
      <c r="B41" s="269" t="s">
        <v>115</v>
      </c>
      <c r="D41" s="268" t="s">
        <v>3</v>
      </c>
      <c r="E41" s="269" t="s">
        <v>116</v>
      </c>
      <c r="G41" s="268" t="s">
        <v>3</v>
      </c>
      <c r="H41" s="269" t="s">
        <v>117</v>
      </c>
    </row>
    <row r="42" ht="15.75" customHeight="1">
      <c r="A42" s="270" t="s">
        <v>4</v>
      </c>
      <c r="B42" s="267" t="s">
        <v>118</v>
      </c>
      <c r="D42" s="270" t="s">
        <v>4</v>
      </c>
      <c r="E42" s="267" t="s">
        <v>119</v>
      </c>
      <c r="G42" s="270" t="s">
        <v>4</v>
      </c>
      <c r="H42" s="267" t="s">
        <v>120</v>
      </c>
    </row>
    <row r="43" ht="15.75" customHeight="1">
      <c r="A43" s="268" t="s">
        <v>5</v>
      </c>
      <c r="B43" s="269" t="s">
        <v>121</v>
      </c>
      <c r="D43" s="268" t="s">
        <v>5</v>
      </c>
      <c r="E43" s="269" t="s">
        <v>122</v>
      </c>
      <c r="G43" s="268" t="s">
        <v>5</v>
      </c>
      <c r="H43" s="269" t="s">
        <v>123</v>
      </c>
    </row>
    <row r="44" ht="15.75" customHeight="1">
      <c r="A44" s="270" t="s">
        <v>6</v>
      </c>
      <c r="B44" s="267" t="s">
        <v>124</v>
      </c>
      <c r="D44" s="270" t="s">
        <v>6</v>
      </c>
      <c r="E44" s="267" t="s">
        <v>125</v>
      </c>
      <c r="G44" s="270" t="s">
        <v>6</v>
      </c>
      <c r="H44" s="267" t="s">
        <v>126</v>
      </c>
    </row>
    <row r="45" ht="15.75" customHeight="1">
      <c r="B45" s="257"/>
      <c r="E45" s="257"/>
      <c r="H45" s="257"/>
    </row>
    <row r="46" ht="15.75" customHeight="1">
      <c r="B46" s="251" t="s">
        <v>127</v>
      </c>
      <c r="E46" s="251" t="s">
        <v>128</v>
      </c>
      <c r="H46" s="251" t="s">
        <v>129</v>
      </c>
    </row>
    <row r="47" ht="15.75" customHeight="1">
      <c r="A47" s="266" t="s">
        <v>2</v>
      </c>
      <c r="B47" s="267" t="s">
        <v>130</v>
      </c>
      <c r="D47" s="266" t="s">
        <v>2</v>
      </c>
      <c r="E47" s="271" t="s">
        <v>131</v>
      </c>
      <c r="G47" s="266" t="s">
        <v>2</v>
      </c>
      <c r="H47" s="271" t="s">
        <v>132</v>
      </c>
    </row>
    <row r="48" ht="15.75" customHeight="1">
      <c r="A48" s="268" t="s">
        <v>3</v>
      </c>
      <c r="B48" s="269" t="s">
        <v>133</v>
      </c>
      <c r="D48" s="268" t="s">
        <v>3</v>
      </c>
      <c r="E48" s="272" t="s">
        <v>134</v>
      </c>
      <c r="G48" s="268" t="s">
        <v>3</v>
      </c>
      <c r="H48" s="272" t="s">
        <v>135</v>
      </c>
    </row>
    <row r="49" ht="15.75" customHeight="1">
      <c r="A49" s="270" t="s">
        <v>4</v>
      </c>
      <c r="B49" s="267" t="s">
        <v>136</v>
      </c>
      <c r="D49" s="270" t="s">
        <v>4</v>
      </c>
      <c r="E49" s="271" t="s">
        <v>137</v>
      </c>
      <c r="G49" s="270" t="s">
        <v>4</v>
      </c>
      <c r="H49" s="271" t="s">
        <v>138</v>
      </c>
    </row>
    <row r="50" ht="15.75" customHeight="1">
      <c r="A50" s="268" t="s">
        <v>5</v>
      </c>
      <c r="B50" s="269" t="s">
        <v>139</v>
      </c>
      <c r="D50" s="268" t="s">
        <v>5</v>
      </c>
      <c r="E50" s="272" t="s">
        <v>140</v>
      </c>
      <c r="G50" s="268" t="s">
        <v>5</v>
      </c>
      <c r="H50" s="272" t="s">
        <v>141</v>
      </c>
    </row>
    <row r="51" ht="15.75" customHeight="1">
      <c r="A51" s="270" t="s">
        <v>6</v>
      </c>
      <c r="B51" s="267" t="s">
        <v>142</v>
      </c>
      <c r="D51" s="270" t="s">
        <v>6</v>
      </c>
      <c r="E51" s="271" t="s">
        <v>143</v>
      </c>
      <c r="G51" s="270" t="s">
        <v>6</v>
      </c>
      <c r="H51" s="271" t="s">
        <v>144</v>
      </c>
    </row>
    <row r="52" ht="15.75" customHeight="1">
      <c r="B52" s="257"/>
      <c r="E52" s="257"/>
      <c r="H52" s="257"/>
    </row>
    <row r="53" ht="15.75" customHeight="1">
      <c r="B53" s="251" t="s">
        <v>145</v>
      </c>
      <c r="E53" s="251" t="s">
        <v>146</v>
      </c>
      <c r="H53" s="251" t="s">
        <v>147</v>
      </c>
    </row>
    <row r="54" ht="15.75" customHeight="1">
      <c r="A54" s="266" t="s">
        <v>2</v>
      </c>
      <c r="B54" s="267" t="s">
        <v>148</v>
      </c>
      <c r="D54" s="266" t="s">
        <v>2</v>
      </c>
      <c r="E54" s="271" t="s">
        <v>149</v>
      </c>
      <c r="G54" s="266" t="s">
        <v>2</v>
      </c>
      <c r="H54" s="271" t="s">
        <v>150</v>
      </c>
    </row>
    <row r="55" ht="15.75" customHeight="1">
      <c r="A55" s="268" t="s">
        <v>3</v>
      </c>
      <c r="B55" s="272" t="s">
        <v>151</v>
      </c>
      <c r="D55" s="268" t="s">
        <v>3</v>
      </c>
      <c r="E55" s="272" t="s">
        <v>152</v>
      </c>
      <c r="G55" s="268" t="s">
        <v>3</v>
      </c>
      <c r="H55" s="272" t="s">
        <v>153</v>
      </c>
    </row>
    <row r="56" ht="15.75" customHeight="1">
      <c r="A56" s="270" t="s">
        <v>4</v>
      </c>
      <c r="B56" s="271" t="s">
        <v>154</v>
      </c>
      <c r="D56" s="270" t="s">
        <v>4</v>
      </c>
      <c r="E56" s="271" t="s">
        <v>155</v>
      </c>
      <c r="G56" s="270" t="s">
        <v>4</v>
      </c>
      <c r="H56" s="271" t="s">
        <v>156</v>
      </c>
    </row>
    <row r="57" ht="15.75" customHeight="1">
      <c r="A57" s="268" t="s">
        <v>5</v>
      </c>
      <c r="B57" s="269" t="s">
        <v>157</v>
      </c>
      <c r="D57" s="268" t="s">
        <v>5</v>
      </c>
      <c r="E57" s="272" t="s">
        <v>158</v>
      </c>
      <c r="G57" s="268" t="s">
        <v>5</v>
      </c>
      <c r="H57" s="272" t="s">
        <v>159</v>
      </c>
    </row>
    <row r="58" ht="15.75" customHeight="1">
      <c r="A58" s="270" t="s">
        <v>6</v>
      </c>
      <c r="B58" s="271" t="s">
        <v>160</v>
      </c>
      <c r="D58" s="270" t="s">
        <v>6</v>
      </c>
      <c r="E58" s="271" t="s">
        <v>161</v>
      </c>
      <c r="G58" s="270" t="s">
        <v>6</v>
      </c>
      <c r="H58" s="271" t="s">
        <v>162</v>
      </c>
    </row>
    <row r="59" ht="15.75" customHeight="1">
      <c r="B59" s="257"/>
      <c r="E59" s="257"/>
      <c r="H59" s="257"/>
    </row>
    <row r="60" ht="15.75" customHeight="1">
      <c r="B60" s="273" t="s">
        <v>163</v>
      </c>
      <c r="E60" s="273" t="s">
        <v>164</v>
      </c>
      <c r="H60" s="273" t="s">
        <v>165</v>
      </c>
    </row>
    <row r="61" ht="15.75" customHeight="1">
      <c r="B61" s="251" t="s">
        <v>166</v>
      </c>
      <c r="E61" s="251" t="s">
        <v>167</v>
      </c>
      <c r="H61" s="251" t="s">
        <v>168</v>
      </c>
    </row>
    <row r="62" ht="15.75" customHeight="1">
      <c r="A62" s="274" t="s">
        <v>2</v>
      </c>
      <c r="B62" s="275" t="s">
        <v>169</v>
      </c>
      <c r="D62" s="274" t="s">
        <v>2</v>
      </c>
      <c r="E62" s="275" t="s">
        <v>170</v>
      </c>
      <c r="G62" s="274" t="s">
        <v>2</v>
      </c>
      <c r="H62" s="275" t="s">
        <v>171</v>
      </c>
    </row>
    <row r="63" ht="15.75" customHeight="1">
      <c r="A63" s="276" t="s">
        <v>3</v>
      </c>
      <c r="B63" s="277" t="s">
        <v>172</v>
      </c>
      <c r="D63" s="276" t="s">
        <v>3</v>
      </c>
      <c r="E63" s="277" t="s">
        <v>173</v>
      </c>
      <c r="G63" s="276" t="s">
        <v>3</v>
      </c>
      <c r="H63" s="277" t="s">
        <v>174</v>
      </c>
    </row>
    <row r="64" ht="15.75" customHeight="1">
      <c r="A64" s="274" t="s">
        <v>4</v>
      </c>
      <c r="B64" s="275" t="s">
        <v>175</v>
      </c>
      <c r="D64" s="274" t="s">
        <v>4</v>
      </c>
      <c r="E64" s="275" t="s">
        <v>176</v>
      </c>
      <c r="G64" s="274" t="s">
        <v>4</v>
      </c>
      <c r="H64" s="275" t="s">
        <v>177</v>
      </c>
    </row>
    <row r="65" ht="15.75" customHeight="1">
      <c r="A65" s="276" t="s">
        <v>5</v>
      </c>
      <c r="B65" s="277" t="s">
        <v>178</v>
      </c>
      <c r="D65" s="276" t="s">
        <v>5</v>
      </c>
      <c r="E65" s="277" t="s">
        <v>179</v>
      </c>
      <c r="G65" s="276" t="s">
        <v>5</v>
      </c>
      <c r="H65" s="277" t="s">
        <v>180</v>
      </c>
    </row>
    <row r="66" ht="15.75" customHeight="1">
      <c r="A66" s="274" t="s">
        <v>6</v>
      </c>
      <c r="B66" s="275" t="s">
        <v>181</v>
      </c>
      <c r="D66" s="274" t="s">
        <v>6</v>
      </c>
      <c r="E66" s="275" t="s">
        <v>182</v>
      </c>
      <c r="G66" s="274" t="s">
        <v>6</v>
      </c>
      <c r="H66" s="275" t="s">
        <v>183</v>
      </c>
    </row>
    <row r="67" ht="15.75" customHeight="1">
      <c r="B67" s="257"/>
      <c r="E67" s="257"/>
      <c r="H67" s="257"/>
    </row>
    <row r="68" ht="15.75" customHeight="1">
      <c r="B68" s="251" t="s">
        <v>184</v>
      </c>
      <c r="E68" s="251" t="s">
        <v>185</v>
      </c>
      <c r="H68" s="251" t="s">
        <v>186</v>
      </c>
    </row>
    <row r="69" ht="15.75" customHeight="1">
      <c r="A69" s="274" t="s">
        <v>2</v>
      </c>
      <c r="B69" s="275" t="s">
        <v>187</v>
      </c>
      <c r="D69" s="274" t="s">
        <v>2</v>
      </c>
      <c r="E69" s="278" t="s">
        <v>188</v>
      </c>
      <c r="G69" s="274" t="s">
        <v>2</v>
      </c>
      <c r="H69" s="278" t="s">
        <v>189</v>
      </c>
    </row>
    <row r="70" ht="15.75" customHeight="1">
      <c r="A70" s="276" t="s">
        <v>3</v>
      </c>
      <c r="B70" s="277" t="s">
        <v>190</v>
      </c>
      <c r="D70" s="276" t="s">
        <v>3</v>
      </c>
      <c r="E70" s="279" t="s">
        <v>191</v>
      </c>
      <c r="G70" s="276" t="s">
        <v>3</v>
      </c>
      <c r="H70" s="279" t="s">
        <v>192</v>
      </c>
    </row>
    <row r="71" ht="15.75" customHeight="1">
      <c r="A71" s="274" t="s">
        <v>4</v>
      </c>
      <c r="B71" s="275" t="s">
        <v>193</v>
      </c>
      <c r="D71" s="274" t="s">
        <v>4</v>
      </c>
      <c r="E71" s="278" t="s">
        <v>194</v>
      </c>
      <c r="G71" s="274" t="s">
        <v>4</v>
      </c>
      <c r="H71" s="278" t="s">
        <v>195</v>
      </c>
    </row>
    <row r="72" ht="15.75" customHeight="1">
      <c r="A72" s="276" t="s">
        <v>5</v>
      </c>
      <c r="B72" s="277" t="s">
        <v>196</v>
      </c>
      <c r="D72" s="276" t="s">
        <v>5</v>
      </c>
      <c r="E72" s="279" t="s">
        <v>197</v>
      </c>
      <c r="G72" s="276" t="s">
        <v>5</v>
      </c>
      <c r="H72" s="279" t="s">
        <v>198</v>
      </c>
    </row>
    <row r="73" ht="15.75" customHeight="1">
      <c r="A73" s="274" t="s">
        <v>6</v>
      </c>
      <c r="B73" s="275" t="s">
        <v>199</v>
      </c>
      <c r="D73" s="274" t="s">
        <v>6</v>
      </c>
      <c r="E73" s="278" t="s">
        <v>200</v>
      </c>
      <c r="G73" s="274" t="s">
        <v>6</v>
      </c>
      <c r="H73" s="278" t="s">
        <v>201</v>
      </c>
    </row>
    <row r="74" ht="15.75" customHeight="1">
      <c r="B74" s="257"/>
      <c r="E74" s="257"/>
      <c r="H74" s="257"/>
    </row>
    <row r="75" ht="15.75" customHeight="1">
      <c r="B75" s="251" t="s">
        <v>202</v>
      </c>
      <c r="E75" s="251" t="s">
        <v>203</v>
      </c>
      <c r="H75" s="251" t="s">
        <v>204</v>
      </c>
    </row>
    <row r="76" ht="15.75" customHeight="1">
      <c r="A76" s="274" t="s">
        <v>2</v>
      </c>
      <c r="B76" s="275" t="s">
        <v>205</v>
      </c>
      <c r="D76" s="274" t="s">
        <v>2</v>
      </c>
      <c r="E76" s="275" t="s">
        <v>206</v>
      </c>
      <c r="G76" s="274" t="s">
        <v>2</v>
      </c>
      <c r="H76" s="275" t="s">
        <v>207</v>
      </c>
    </row>
    <row r="77" ht="15.75" customHeight="1">
      <c r="A77" s="276" t="s">
        <v>3</v>
      </c>
      <c r="B77" s="277" t="s">
        <v>208</v>
      </c>
      <c r="D77" s="276" t="s">
        <v>3</v>
      </c>
      <c r="E77" s="277" t="s">
        <v>209</v>
      </c>
      <c r="G77" s="276" t="s">
        <v>3</v>
      </c>
      <c r="H77" s="277" t="s">
        <v>210</v>
      </c>
    </row>
    <row r="78" ht="15.75" customHeight="1">
      <c r="A78" s="274" t="s">
        <v>4</v>
      </c>
      <c r="B78" s="275" t="s">
        <v>211</v>
      </c>
      <c r="D78" s="274" t="s">
        <v>4</v>
      </c>
      <c r="E78" s="275" t="s">
        <v>212</v>
      </c>
      <c r="G78" s="274" t="s">
        <v>4</v>
      </c>
      <c r="H78" s="275" t="s">
        <v>213</v>
      </c>
    </row>
    <row r="79" ht="15.75" customHeight="1">
      <c r="A79" s="276" t="s">
        <v>5</v>
      </c>
      <c r="B79" s="277" t="s">
        <v>214</v>
      </c>
      <c r="D79" s="276" t="s">
        <v>5</v>
      </c>
      <c r="E79" s="277" t="s">
        <v>215</v>
      </c>
      <c r="G79" s="276" t="s">
        <v>5</v>
      </c>
      <c r="H79" s="277" t="s">
        <v>216</v>
      </c>
    </row>
    <row r="80" ht="15.75" customHeight="1">
      <c r="A80" s="274" t="s">
        <v>6</v>
      </c>
      <c r="B80" s="275" t="s">
        <v>217</v>
      </c>
      <c r="D80" s="274" t="s">
        <v>6</v>
      </c>
      <c r="E80" s="275" t="s">
        <v>218</v>
      </c>
      <c r="G80" s="274" t="s">
        <v>6</v>
      </c>
      <c r="H80" s="275" t="s">
        <v>219</v>
      </c>
    </row>
    <row r="81" ht="15.75" customHeight="1">
      <c r="B81" s="257"/>
      <c r="E81" s="257"/>
      <c r="H81" s="257"/>
    </row>
    <row r="82" ht="15.75" customHeight="1">
      <c r="B82" s="251" t="s">
        <v>220</v>
      </c>
      <c r="E82" s="251" t="s">
        <v>221</v>
      </c>
      <c r="H82" s="251" t="s">
        <v>222</v>
      </c>
    </row>
    <row r="83" ht="15.75" customHeight="1">
      <c r="A83" s="274" t="s">
        <v>2</v>
      </c>
      <c r="B83" s="275" t="s">
        <v>223</v>
      </c>
      <c r="D83" s="274" t="s">
        <v>2</v>
      </c>
      <c r="E83" s="275" t="s">
        <v>224</v>
      </c>
      <c r="G83" s="274" t="s">
        <v>2</v>
      </c>
      <c r="H83" s="275" t="s">
        <v>225</v>
      </c>
    </row>
    <row r="84" ht="15.75" customHeight="1">
      <c r="A84" s="276" t="s">
        <v>3</v>
      </c>
      <c r="B84" s="277" t="s">
        <v>226</v>
      </c>
      <c r="D84" s="276" t="s">
        <v>3</v>
      </c>
      <c r="E84" s="277" t="s">
        <v>227</v>
      </c>
      <c r="G84" s="276" t="s">
        <v>3</v>
      </c>
      <c r="H84" s="277" t="s">
        <v>228</v>
      </c>
    </row>
    <row r="85" ht="15.75" customHeight="1">
      <c r="A85" s="274" t="s">
        <v>4</v>
      </c>
      <c r="B85" s="275" t="s">
        <v>229</v>
      </c>
      <c r="D85" s="274" t="s">
        <v>4</v>
      </c>
      <c r="E85" s="275" t="s">
        <v>230</v>
      </c>
      <c r="G85" s="274" t="s">
        <v>4</v>
      </c>
      <c r="H85" s="275" t="s">
        <v>231</v>
      </c>
    </row>
    <row r="86" ht="15.75" customHeight="1">
      <c r="A86" s="276" t="s">
        <v>5</v>
      </c>
      <c r="B86" s="277" t="s">
        <v>232</v>
      </c>
      <c r="D86" s="276" t="s">
        <v>5</v>
      </c>
      <c r="E86" s="277" t="s">
        <v>233</v>
      </c>
      <c r="G86" s="276" t="s">
        <v>5</v>
      </c>
      <c r="H86" s="277" t="s">
        <v>234</v>
      </c>
    </row>
    <row r="87" ht="15.75" customHeight="1">
      <c r="A87" s="274" t="s">
        <v>6</v>
      </c>
      <c r="B87" s="275" t="s">
        <v>235</v>
      </c>
      <c r="D87" s="274" t="s">
        <v>6</v>
      </c>
      <c r="E87" s="275" t="s">
        <v>236</v>
      </c>
      <c r="G87" s="274" t="s">
        <v>6</v>
      </c>
      <c r="H87" s="275" t="s">
        <v>237</v>
      </c>
    </row>
    <row r="88" ht="15.75" customHeight="1">
      <c r="B88" s="257"/>
      <c r="E88" s="257"/>
      <c r="H88" s="257"/>
    </row>
    <row r="89" ht="15.75" customHeight="1">
      <c r="B89" s="280" t="s">
        <v>238</v>
      </c>
      <c r="E89" s="280" t="s">
        <v>239</v>
      </c>
      <c r="H89" s="280" t="s">
        <v>240</v>
      </c>
    </row>
    <row r="90" ht="15.75" customHeight="1">
      <c r="B90" s="251" t="s">
        <v>241</v>
      </c>
      <c r="E90" s="251" t="s">
        <v>242</v>
      </c>
      <c r="H90" s="251" t="s">
        <v>243</v>
      </c>
    </row>
    <row r="91" ht="15.75" customHeight="1">
      <c r="A91" s="281" t="s">
        <v>2</v>
      </c>
      <c r="B91" s="282" t="s">
        <v>244</v>
      </c>
      <c r="D91" s="281" t="s">
        <v>2</v>
      </c>
      <c r="E91" s="282" t="s">
        <v>245</v>
      </c>
      <c r="G91" s="281" t="s">
        <v>2</v>
      </c>
      <c r="H91" s="282" t="s">
        <v>246</v>
      </c>
    </row>
    <row r="92" ht="15.75" customHeight="1">
      <c r="A92" s="283" t="s">
        <v>3</v>
      </c>
      <c r="B92" s="284" t="s">
        <v>247</v>
      </c>
      <c r="D92" s="283" t="s">
        <v>3</v>
      </c>
      <c r="E92" s="285" t="s">
        <v>248</v>
      </c>
      <c r="G92" s="283" t="s">
        <v>3</v>
      </c>
      <c r="H92" s="285" t="s">
        <v>249</v>
      </c>
    </row>
    <row r="93" ht="15.75" customHeight="1">
      <c r="A93" s="281" t="s">
        <v>4</v>
      </c>
      <c r="B93" s="282" t="s">
        <v>250</v>
      </c>
      <c r="D93" s="281" t="s">
        <v>4</v>
      </c>
      <c r="E93" s="286" t="s">
        <v>251</v>
      </c>
      <c r="G93" s="281" t="s">
        <v>4</v>
      </c>
      <c r="H93" s="286" t="s">
        <v>252</v>
      </c>
    </row>
    <row r="94" ht="15.75" customHeight="1">
      <c r="A94" s="283" t="s">
        <v>5</v>
      </c>
      <c r="B94" s="284" t="s">
        <v>253</v>
      </c>
      <c r="D94" s="283" t="s">
        <v>5</v>
      </c>
      <c r="E94" s="285" t="s">
        <v>254</v>
      </c>
      <c r="G94" s="283" t="s">
        <v>5</v>
      </c>
      <c r="H94" s="285" t="s">
        <v>255</v>
      </c>
    </row>
    <row r="95" ht="15.75" customHeight="1">
      <c r="A95" s="281" t="s">
        <v>6</v>
      </c>
      <c r="B95" s="282" t="s">
        <v>256</v>
      </c>
      <c r="D95" s="281" t="s">
        <v>6</v>
      </c>
      <c r="E95" s="286" t="s">
        <v>257</v>
      </c>
      <c r="G95" s="281" t="s">
        <v>6</v>
      </c>
      <c r="H95" s="286" t="s">
        <v>258</v>
      </c>
    </row>
    <row r="96" ht="15.75" customHeight="1">
      <c r="B96" s="257"/>
      <c r="E96" s="257"/>
      <c r="H96" s="257"/>
    </row>
    <row r="97" ht="15.75" customHeight="1">
      <c r="B97" s="251" t="s">
        <v>259</v>
      </c>
      <c r="E97" s="251" t="s">
        <v>260</v>
      </c>
      <c r="H97" s="251" t="s">
        <v>261</v>
      </c>
    </row>
    <row r="98" ht="15.75" customHeight="1">
      <c r="A98" s="281" t="s">
        <v>2</v>
      </c>
      <c r="B98" s="286" t="s">
        <v>262</v>
      </c>
      <c r="D98" s="281" t="s">
        <v>2</v>
      </c>
      <c r="E98" s="286" t="s">
        <v>263</v>
      </c>
      <c r="G98" s="281" t="s">
        <v>2</v>
      </c>
      <c r="H98" s="286" t="s">
        <v>264</v>
      </c>
    </row>
    <row r="99" ht="15.75" customHeight="1">
      <c r="A99" s="283" t="s">
        <v>3</v>
      </c>
      <c r="B99" s="285" t="s">
        <v>265</v>
      </c>
      <c r="D99" s="283" t="s">
        <v>3</v>
      </c>
      <c r="E99" s="285" t="s">
        <v>266</v>
      </c>
      <c r="G99" s="283" t="s">
        <v>3</v>
      </c>
      <c r="H99" s="285" t="s">
        <v>267</v>
      </c>
    </row>
    <row r="100" ht="15.75" customHeight="1">
      <c r="A100" s="281" t="s">
        <v>4</v>
      </c>
      <c r="B100" s="286" t="s">
        <v>268</v>
      </c>
      <c r="D100" s="281" t="s">
        <v>4</v>
      </c>
      <c r="E100" s="286" t="s">
        <v>269</v>
      </c>
      <c r="G100" s="281" t="s">
        <v>4</v>
      </c>
      <c r="H100" s="286" t="s">
        <v>270</v>
      </c>
    </row>
    <row r="101" ht="15.75" customHeight="1">
      <c r="A101" s="283" t="s">
        <v>5</v>
      </c>
      <c r="B101" s="285" t="s">
        <v>271</v>
      </c>
      <c r="D101" s="283" t="s">
        <v>5</v>
      </c>
      <c r="E101" s="285" t="s">
        <v>272</v>
      </c>
      <c r="G101" s="283" t="s">
        <v>5</v>
      </c>
      <c r="H101" s="285" t="s">
        <v>273</v>
      </c>
    </row>
    <row r="102" ht="15.75" customHeight="1">
      <c r="A102" s="281" t="s">
        <v>6</v>
      </c>
      <c r="B102" s="286" t="s">
        <v>274</v>
      </c>
      <c r="D102" s="281" t="s">
        <v>6</v>
      </c>
      <c r="E102" s="286" t="s">
        <v>275</v>
      </c>
      <c r="G102" s="281" t="s">
        <v>6</v>
      </c>
      <c r="H102" s="286" t="s">
        <v>276</v>
      </c>
    </row>
    <row r="103" ht="15.75" customHeight="1">
      <c r="B103" s="257"/>
      <c r="E103" s="257"/>
      <c r="H103" s="257"/>
    </row>
    <row r="104" ht="15.75" customHeight="1">
      <c r="B104" s="287" t="s">
        <v>277</v>
      </c>
      <c r="E104" s="287" t="s">
        <v>278</v>
      </c>
      <c r="H104" s="287" t="s">
        <v>279</v>
      </c>
    </row>
    <row r="105" ht="15.75" customHeight="1">
      <c r="B105" s="251" t="s">
        <v>280</v>
      </c>
      <c r="E105" s="251" t="s">
        <v>281</v>
      </c>
      <c r="H105" s="251" t="s">
        <v>282</v>
      </c>
    </row>
    <row r="106" ht="15.75" customHeight="1">
      <c r="A106" s="288" t="s">
        <v>2</v>
      </c>
      <c r="B106" s="289" t="s">
        <v>283</v>
      </c>
      <c r="D106" s="288" t="s">
        <v>2</v>
      </c>
      <c r="E106" s="289" t="s">
        <v>284</v>
      </c>
      <c r="G106" s="288" t="s">
        <v>2</v>
      </c>
      <c r="H106" s="289" t="s">
        <v>285</v>
      </c>
    </row>
    <row r="107" ht="15.75" customHeight="1">
      <c r="A107" s="290" t="s">
        <v>3</v>
      </c>
      <c r="B107" s="291" t="s">
        <v>286</v>
      </c>
      <c r="D107" s="290" t="s">
        <v>3</v>
      </c>
      <c r="E107" s="291" t="s">
        <v>287</v>
      </c>
      <c r="G107" s="290" t="s">
        <v>3</v>
      </c>
      <c r="H107" s="291" t="s">
        <v>288</v>
      </c>
    </row>
    <row r="108" ht="15.75" customHeight="1">
      <c r="A108" s="288" t="s">
        <v>4</v>
      </c>
      <c r="B108" s="289" t="s">
        <v>289</v>
      </c>
      <c r="D108" s="288" t="s">
        <v>4</v>
      </c>
      <c r="E108" s="289" t="s">
        <v>290</v>
      </c>
      <c r="G108" s="288" t="s">
        <v>4</v>
      </c>
      <c r="H108" s="289" t="s">
        <v>291</v>
      </c>
    </row>
    <row r="109" ht="15.75" customHeight="1">
      <c r="A109" s="290" t="s">
        <v>5</v>
      </c>
      <c r="B109" s="291" t="s">
        <v>292</v>
      </c>
      <c r="D109" s="290" t="s">
        <v>5</v>
      </c>
      <c r="E109" s="291" t="s">
        <v>293</v>
      </c>
      <c r="G109" s="290" t="s">
        <v>5</v>
      </c>
      <c r="H109" s="291" t="s">
        <v>294</v>
      </c>
    </row>
    <row r="110" ht="15.75" customHeight="1">
      <c r="A110" s="288" t="s">
        <v>6</v>
      </c>
      <c r="B110" s="289" t="s">
        <v>295</v>
      </c>
      <c r="D110" s="288" t="s">
        <v>6</v>
      </c>
      <c r="E110" s="289" t="s">
        <v>296</v>
      </c>
      <c r="G110" s="288" t="s">
        <v>6</v>
      </c>
      <c r="H110" s="289" t="s">
        <v>297</v>
      </c>
    </row>
    <row r="111" ht="15.75" customHeight="1">
      <c r="B111" s="257"/>
      <c r="E111" s="257"/>
      <c r="H111" s="257"/>
    </row>
    <row r="112" ht="15.75" customHeight="1">
      <c r="B112" s="251" t="s">
        <v>298</v>
      </c>
      <c r="E112" s="251" t="s">
        <v>299</v>
      </c>
      <c r="H112" s="251" t="s">
        <v>300</v>
      </c>
    </row>
    <row r="113" ht="15.75" customHeight="1">
      <c r="A113" s="288" t="s">
        <v>2</v>
      </c>
      <c r="B113" s="292" t="s">
        <v>301</v>
      </c>
      <c r="D113" s="288" t="s">
        <v>2</v>
      </c>
      <c r="E113" s="292" t="s">
        <v>302</v>
      </c>
      <c r="G113" s="288" t="s">
        <v>2</v>
      </c>
      <c r="H113" s="292" t="s">
        <v>303</v>
      </c>
    </row>
    <row r="114" ht="15.75" customHeight="1">
      <c r="A114" s="290" t="s">
        <v>3</v>
      </c>
      <c r="B114" s="293" t="s">
        <v>304</v>
      </c>
      <c r="D114" s="290" t="s">
        <v>3</v>
      </c>
      <c r="E114" s="293" t="s">
        <v>305</v>
      </c>
      <c r="G114" s="290" t="s">
        <v>3</v>
      </c>
      <c r="H114" s="293" t="s">
        <v>306</v>
      </c>
    </row>
    <row r="115" ht="15.75" customHeight="1">
      <c r="A115" s="288" t="s">
        <v>4</v>
      </c>
      <c r="B115" s="292" t="s">
        <v>307</v>
      </c>
      <c r="D115" s="288" t="s">
        <v>4</v>
      </c>
      <c r="E115" s="292" t="s">
        <v>308</v>
      </c>
      <c r="G115" s="288" t="s">
        <v>4</v>
      </c>
      <c r="H115" s="292" t="s">
        <v>309</v>
      </c>
    </row>
    <row r="116" ht="15.75" customHeight="1">
      <c r="A116" s="290" t="s">
        <v>5</v>
      </c>
      <c r="B116" s="293" t="s">
        <v>310</v>
      </c>
      <c r="D116" s="290" t="s">
        <v>5</v>
      </c>
      <c r="E116" s="293" t="s">
        <v>311</v>
      </c>
      <c r="G116" s="290" t="s">
        <v>5</v>
      </c>
      <c r="H116" s="293" t="s">
        <v>312</v>
      </c>
    </row>
    <row r="117" ht="15.75" customHeight="1">
      <c r="A117" s="288" t="s">
        <v>6</v>
      </c>
      <c r="B117" s="292" t="s">
        <v>313</v>
      </c>
      <c r="D117" s="288" t="s">
        <v>6</v>
      </c>
      <c r="E117" s="292" t="s">
        <v>314</v>
      </c>
      <c r="G117" s="288" t="s">
        <v>6</v>
      </c>
      <c r="H117" s="292" t="s">
        <v>315</v>
      </c>
    </row>
    <row r="118" ht="15.75" customHeight="1">
      <c r="B118" s="257"/>
    </row>
    <row r="119" ht="15.75" customHeight="1">
      <c r="B119" s="257"/>
    </row>
    <row r="120" ht="15.75" customHeight="1">
      <c r="B120" s="257"/>
    </row>
    <row r="121" ht="15.75" customHeight="1">
      <c r="B121" s="257"/>
    </row>
    <row r="122" ht="15.75" customHeight="1">
      <c r="B122" s="257"/>
    </row>
    <row r="123" ht="15.75" customHeight="1">
      <c r="B123" s="257"/>
    </row>
    <row r="124" ht="15.75" customHeight="1">
      <c r="B124" s="257"/>
    </row>
    <row r="125" ht="15.75" customHeight="1">
      <c r="B125" s="257"/>
    </row>
    <row r="126" ht="15.75" customHeight="1">
      <c r="B126" s="257"/>
    </row>
    <row r="127" ht="15.75" customHeight="1">
      <c r="B127" s="257"/>
    </row>
    <row r="128" ht="15.75" customHeight="1">
      <c r="B128" s="257"/>
    </row>
    <row r="129" ht="15.75" customHeight="1">
      <c r="B129" s="257"/>
    </row>
    <row r="130" ht="15.75" customHeight="1">
      <c r="B130" s="257"/>
    </row>
    <row r="131" ht="15.75" customHeight="1">
      <c r="B131" s="257"/>
    </row>
    <row r="132" ht="15.75" customHeight="1">
      <c r="B132" s="257"/>
    </row>
    <row r="133" ht="15.75" customHeight="1">
      <c r="B133" s="257"/>
    </row>
    <row r="134" ht="15.75" customHeight="1">
      <c r="B134" s="257"/>
    </row>
    <row r="135" ht="15.75" customHeight="1">
      <c r="B135" s="257"/>
    </row>
    <row r="136" ht="15.75" customHeight="1">
      <c r="B136" s="257"/>
    </row>
    <row r="137" ht="15.75" customHeight="1">
      <c r="B137" s="257"/>
    </row>
    <row r="138" ht="15.75" customHeight="1">
      <c r="B138" s="257"/>
    </row>
    <row r="139" ht="15.75" customHeight="1">
      <c r="B139" s="257"/>
    </row>
    <row r="140" ht="15.75" customHeight="1">
      <c r="B140" s="257"/>
    </row>
    <row r="141" ht="15.75" customHeight="1">
      <c r="B141" s="257"/>
    </row>
    <row r="142" ht="15.75" customHeight="1">
      <c r="B142" s="257"/>
    </row>
    <row r="143" ht="15.75" customHeight="1">
      <c r="B143" s="257"/>
    </row>
    <row r="144" ht="15.75" customHeight="1">
      <c r="B144" s="257"/>
    </row>
    <row r="145" ht="15.75" customHeight="1">
      <c r="B145" s="257"/>
    </row>
    <row r="146" ht="15.75" customHeight="1">
      <c r="B146" s="257"/>
    </row>
    <row r="147" ht="15.75" customHeight="1">
      <c r="B147" s="257"/>
    </row>
    <row r="148" ht="15.75" customHeight="1">
      <c r="B148" s="257"/>
    </row>
    <row r="149" ht="15.75" customHeight="1">
      <c r="B149" s="257"/>
    </row>
    <row r="150" ht="15.75" customHeight="1">
      <c r="B150" s="257"/>
    </row>
    <row r="151" ht="15.75" customHeight="1">
      <c r="B151" s="257"/>
    </row>
    <row r="152" ht="15.75" customHeight="1">
      <c r="B152" s="257"/>
    </row>
    <row r="153" ht="15.75" customHeight="1">
      <c r="B153" s="257"/>
    </row>
    <row r="154" ht="15.75" customHeight="1">
      <c r="B154" s="257"/>
    </row>
    <row r="155" ht="15.75" customHeight="1">
      <c r="B155" s="257"/>
    </row>
    <row r="156" ht="15.75" customHeight="1">
      <c r="B156" s="257"/>
    </row>
    <row r="157" ht="15.75" customHeight="1">
      <c r="B157" s="257"/>
    </row>
    <row r="158" ht="15.75" customHeight="1">
      <c r="B158" s="257"/>
    </row>
    <row r="159" ht="15.75" customHeight="1">
      <c r="B159" s="257"/>
    </row>
    <row r="160" ht="15.75" customHeight="1">
      <c r="B160" s="257"/>
    </row>
    <row r="161" ht="15.75" customHeight="1">
      <c r="B161" s="257"/>
    </row>
    <row r="162" ht="15.75" customHeight="1">
      <c r="B162" s="257"/>
    </row>
    <row r="163" ht="15.75" customHeight="1">
      <c r="B163" s="257"/>
    </row>
    <row r="164" ht="15.75" customHeight="1">
      <c r="B164" s="257"/>
    </row>
    <row r="165" ht="15.75" customHeight="1">
      <c r="B165" s="257"/>
    </row>
    <row r="166" ht="15.75" customHeight="1">
      <c r="B166" s="257"/>
    </row>
    <row r="167" ht="15.75" customHeight="1">
      <c r="B167" s="257"/>
    </row>
    <row r="168" ht="15.75" customHeight="1">
      <c r="B168" s="257"/>
    </row>
    <row r="169" ht="15.75" customHeight="1">
      <c r="B169" s="257"/>
    </row>
    <row r="170" ht="15.75" customHeight="1">
      <c r="B170" s="257"/>
    </row>
    <row r="171" ht="15.75" customHeight="1">
      <c r="B171" s="257"/>
    </row>
    <row r="172" ht="15.75" customHeight="1">
      <c r="B172" s="257"/>
    </row>
    <row r="173" ht="15.75" customHeight="1">
      <c r="B173" s="257"/>
    </row>
    <row r="174" ht="15.75" customHeight="1">
      <c r="B174" s="257"/>
    </row>
    <row r="175" ht="15.75" customHeight="1">
      <c r="B175" s="257"/>
    </row>
    <row r="176" ht="15.75" customHeight="1">
      <c r="B176" s="257"/>
    </row>
    <row r="177" ht="15.75" customHeight="1">
      <c r="B177" s="257"/>
    </row>
    <row r="178" ht="15.75" customHeight="1">
      <c r="B178" s="257"/>
    </row>
    <row r="179" ht="15.75" customHeight="1">
      <c r="B179" s="257"/>
    </row>
    <row r="180" ht="15.75" customHeight="1">
      <c r="B180" s="257"/>
    </row>
    <row r="181" ht="15.75" customHeight="1">
      <c r="B181" s="257"/>
    </row>
    <row r="182" ht="15.75" customHeight="1">
      <c r="B182" s="257"/>
    </row>
    <row r="183" ht="15.75" customHeight="1">
      <c r="B183" s="257"/>
    </row>
    <row r="184" ht="15.75" customHeight="1">
      <c r="B184" s="257"/>
    </row>
    <row r="185" ht="15.75" customHeight="1">
      <c r="B185" s="257"/>
    </row>
    <row r="186" ht="15.75" customHeight="1">
      <c r="B186" s="257"/>
    </row>
    <row r="187" ht="15.75" customHeight="1">
      <c r="B187" s="257"/>
    </row>
    <row r="188" ht="15.75" customHeight="1">
      <c r="B188" s="257"/>
    </row>
    <row r="189" ht="15.75" customHeight="1">
      <c r="B189" s="257"/>
    </row>
    <row r="190" ht="15.75" customHeight="1">
      <c r="B190" s="257"/>
    </row>
    <row r="191" ht="15.75" customHeight="1">
      <c r="B191" s="257"/>
    </row>
    <row r="192" ht="15.75" customHeight="1">
      <c r="B192" s="257"/>
    </row>
    <row r="193" ht="15.75" customHeight="1">
      <c r="B193" s="257"/>
    </row>
    <row r="194" ht="15.75" customHeight="1">
      <c r="B194" s="257"/>
    </row>
    <row r="195" ht="15.75" customHeight="1">
      <c r="B195" s="257"/>
    </row>
    <row r="196" ht="15.75" customHeight="1">
      <c r="B196" s="257"/>
    </row>
    <row r="197" ht="15.75" customHeight="1">
      <c r="B197" s="257"/>
    </row>
    <row r="198" ht="15.75" customHeight="1">
      <c r="B198" s="257"/>
    </row>
    <row r="199" ht="15.75" customHeight="1">
      <c r="B199" s="257"/>
    </row>
    <row r="200" ht="15.75" customHeight="1">
      <c r="B200" s="257"/>
    </row>
    <row r="201" ht="15.75" customHeight="1">
      <c r="B201" s="257"/>
    </row>
    <row r="202" ht="15.75" customHeight="1">
      <c r="B202" s="257"/>
    </row>
    <row r="203" ht="15.75" customHeight="1">
      <c r="B203" s="257"/>
    </row>
    <row r="204" ht="15.75" customHeight="1">
      <c r="B204" s="257"/>
    </row>
    <row r="205" ht="15.75" customHeight="1">
      <c r="B205" s="257"/>
    </row>
    <row r="206" ht="15.75" customHeight="1">
      <c r="B206" s="257"/>
    </row>
    <row r="207" ht="15.75" customHeight="1">
      <c r="B207" s="257"/>
    </row>
    <row r="208" ht="15.75" customHeight="1">
      <c r="B208" s="257"/>
    </row>
    <row r="209" ht="15.75" customHeight="1">
      <c r="B209" s="257"/>
    </row>
    <row r="210" ht="15.75" customHeight="1">
      <c r="B210" s="257"/>
    </row>
    <row r="211" ht="15.75" customHeight="1">
      <c r="B211" s="257"/>
    </row>
    <row r="212" ht="15.75" customHeight="1">
      <c r="B212" s="257"/>
    </row>
    <row r="213" ht="15.75" customHeight="1">
      <c r="B213" s="257"/>
    </row>
    <row r="214" ht="15.75" customHeight="1">
      <c r="B214" s="257"/>
    </row>
    <row r="215" ht="15.75" customHeight="1">
      <c r="B215" s="257"/>
    </row>
    <row r="216" ht="15.75" customHeight="1">
      <c r="B216" s="257"/>
    </row>
    <row r="217" ht="15.75" customHeight="1">
      <c r="B217" s="257"/>
    </row>
    <row r="218" ht="15.75" customHeight="1">
      <c r="B218" s="257"/>
    </row>
    <row r="219" ht="15.75" customHeight="1">
      <c r="B219" s="257"/>
    </row>
    <row r="220" ht="15.75" customHeight="1">
      <c r="B220" s="257"/>
    </row>
    <row r="221" ht="15.75" customHeight="1">
      <c r="B221" s="257"/>
    </row>
    <row r="222" ht="15.75" customHeight="1">
      <c r="B222" s="257"/>
    </row>
    <row r="223" ht="15.75" customHeight="1">
      <c r="B223" s="257"/>
    </row>
    <row r="224" ht="15.75" customHeight="1">
      <c r="B224" s="257"/>
    </row>
    <row r="225" ht="15.75" customHeight="1">
      <c r="B225" s="257"/>
    </row>
    <row r="226" ht="15.75" customHeight="1">
      <c r="B226" s="257"/>
    </row>
    <row r="227" ht="15.75" customHeight="1">
      <c r="B227" s="257"/>
    </row>
    <row r="228" ht="15.75" customHeight="1">
      <c r="B228" s="257"/>
    </row>
    <row r="229" ht="15.75" customHeight="1">
      <c r="B229" s="257"/>
    </row>
    <row r="230" ht="15.75" customHeight="1">
      <c r="B230" s="257"/>
    </row>
    <row r="231" ht="15.75" customHeight="1">
      <c r="B231" s="257"/>
    </row>
    <row r="232" ht="15.75" customHeight="1">
      <c r="B232" s="257"/>
    </row>
    <row r="233" ht="15.75" customHeight="1">
      <c r="B233" s="257"/>
    </row>
    <row r="234" ht="15.75" customHeight="1">
      <c r="B234" s="257"/>
    </row>
    <row r="235" ht="15.75" customHeight="1">
      <c r="B235" s="257"/>
    </row>
    <row r="236" ht="15.75" customHeight="1">
      <c r="B236" s="257"/>
    </row>
    <row r="237" ht="15.75" customHeight="1">
      <c r="B237" s="257"/>
    </row>
    <row r="238" ht="15.75" customHeight="1">
      <c r="B238" s="257"/>
    </row>
    <row r="239" ht="15.75" customHeight="1">
      <c r="B239" s="257"/>
    </row>
    <row r="240" ht="15.75" customHeight="1">
      <c r="B240" s="257"/>
    </row>
    <row r="241" ht="15.75" customHeight="1">
      <c r="B241" s="257"/>
    </row>
    <row r="242" ht="15.75" customHeight="1">
      <c r="B242" s="257"/>
    </row>
    <row r="243" ht="15.75" customHeight="1">
      <c r="B243" s="257"/>
    </row>
    <row r="244" ht="15.75" customHeight="1">
      <c r="B244" s="257"/>
    </row>
    <row r="245" ht="15.75" customHeight="1">
      <c r="B245" s="257"/>
    </row>
    <row r="246" ht="15.75" customHeight="1">
      <c r="B246" s="257"/>
    </row>
    <row r="247" ht="15.75" customHeight="1">
      <c r="B247" s="257"/>
    </row>
    <row r="248" ht="15.75" customHeight="1">
      <c r="B248" s="257"/>
    </row>
    <row r="249" ht="15.75" customHeight="1">
      <c r="B249" s="257"/>
    </row>
    <row r="250" ht="15.75" customHeight="1">
      <c r="B250" s="257"/>
    </row>
    <row r="251" ht="15.75" customHeight="1">
      <c r="B251" s="257"/>
    </row>
    <row r="252" ht="15.75" customHeight="1">
      <c r="B252" s="257"/>
    </row>
    <row r="253" ht="15.75" customHeight="1">
      <c r="B253" s="257"/>
    </row>
    <row r="254" ht="15.75" customHeight="1">
      <c r="B254" s="257"/>
    </row>
    <row r="255" ht="15.75" customHeight="1">
      <c r="B255" s="257"/>
    </row>
    <row r="256" ht="15.75" customHeight="1">
      <c r="B256" s="257"/>
    </row>
    <row r="257" ht="15.75" customHeight="1">
      <c r="B257" s="257"/>
    </row>
    <row r="258" ht="15.75" customHeight="1">
      <c r="B258" s="257"/>
    </row>
    <row r="259" ht="15.75" customHeight="1">
      <c r="B259" s="257"/>
    </row>
    <row r="260" ht="15.75" customHeight="1">
      <c r="B260" s="257"/>
    </row>
    <row r="261" ht="15.75" customHeight="1">
      <c r="B261" s="257"/>
    </row>
    <row r="262" ht="15.75" customHeight="1">
      <c r="B262" s="257"/>
    </row>
    <row r="263" ht="15.75" customHeight="1">
      <c r="B263" s="257"/>
    </row>
    <row r="264" ht="15.75" customHeight="1">
      <c r="B264" s="257"/>
    </row>
    <row r="265" ht="15.75" customHeight="1">
      <c r="B265" s="257"/>
    </row>
    <row r="266" ht="15.75" customHeight="1">
      <c r="B266" s="257"/>
    </row>
    <row r="267" ht="15.75" customHeight="1">
      <c r="B267" s="257"/>
    </row>
    <row r="268" ht="15.75" customHeight="1">
      <c r="B268" s="257"/>
    </row>
    <row r="269" ht="15.75" customHeight="1">
      <c r="B269" s="257"/>
    </row>
    <row r="270" ht="15.75" customHeight="1">
      <c r="B270" s="257"/>
    </row>
    <row r="271" ht="15.75" customHeight="1">
      <c r="B271" s="257"/>
    </row>
    <row r="272" ht="15.75" customHeight="1">
      <c r="B272" s="257"/>
    </row>
    <row r="273" ht="15.75" customHeight="1">
      <c r="B273" s="257"/>
    </row>
    <row r="274" ht="15.75" customHeight="1">
      <c r="B274" s="257"/>
    </row>
    <row r="275" ht="15.75" customHeight="1">
      <c r="B275" s="257"/>
    </row>
    <row r="276" ht="15.75" customHeight="1">
      <c r="B276" s="257"/>
    </row>
    <row r="277" ht="15.75" customHeight="1">
      <c r="B277" s="257"/>
    </row>
    <row r="278" ht="15.75" customHeight="1">
      <c r="B278" s="257"/>
    </row>
    <row r="279" ht="15.75" customHeight="1">
      <c r="B279" s="257"/>
    </row>
    <row r="280" ht="15.75" customHeight="1">
      <c r="B280" s="257"/>
    </row>
    <row r="281" ht="15.75" customHeight="1">
      <c r="B281" s="257"/>
    </row>
    <row r="282" ht="15.75" customHeight="1">
      <c r="B282" s="257"/>
    </row>
    <row r="283" ht="15.75" customHeight="1">
      <c r="B283" s="257"/>
    </row>
    <row r="284" ht="15.75" customHeight="1">
      <c r="B284" s="257"/>
    </row>
    <row r="285" ht="15.75" customHeight="1">
      <c r="B285" s="257"/>
    </row>
    <row r="286" ht="15.75" customHeight="1">
      <c r="B286" s="257"/>
    </row>
    <row r="287" ht="15.75" customHeight="1">
      <c r="B287" s="257"/>
    </row>
    <row r="288" ht="15.75" customHeight="1">
      <c r="B288" s="257"/>
    </row>
    <row r="289" ht="15.75" customHeight="1">
      <c r="B289" s="257"/>
    </row>
    <row r="290" ht="15.75" customHeight="1">
      <c r="B290" s="257"/>
    </row>
    <row r="291" ht="15.75" customHeight="1">
      <c r="B291" s="257"/>
    </row>
    <row r="292" ht="15.75" customHeight="1">
      <c r="B292" s="257"/>
    </row>
    <row r="293" ht="15.75" customHeight="1">
      <c r="B293" s="257"/>
    </row>
    <row r="294" ht="15.75" customHeight="1">
      <c r="B294" s="257"/>
    </row>
    <row r="295" ht="15.75" customHeight="1">
      <c r="B295" s="257"/>
    </row>
    <row r="296" ht="15.75" customHeight="1">
      <c r="B296" s="257"/>
    </row>
    <row r="297" ht="15.75" customHeight="1">
      <c r="B297" s="257"/>
    </row>
    <row r="298" ht="15.75" customHeight="1">
      <c r="B298" s="257"/>
    </row>
    <row r="299" ht="15.75" customHeight="1">
      <c r="B299" s="257"/>
    </row>
    <row r="300" ht="15.75" customHeight="1">
      <c r="B300" s="257"/>
    </row>
    <row r="301" ht="15.75" customHeight="1">
      <c r="B301" s="257"/>
    </row>
    <row r="302" ht="15.75" customHeight="1">
      <c r="B302" s="257"/>
    </row>
    <row r="303" ht="15.75" customHeight="1">
      <c r="B303" s="257"/>
    </row>
    <row r="304" ht="15.75" customHeight="1">
      <c r="B304" s="257"/>
    </row>
    <row r="305" ht="15.75" customHeight="1">
      <c r="B305" s="257"/>
    </row>
    <row r="306" ht="15.75" customHeight="1">
      <c r="B306" s="257"/>
    </row>
    <row r="307" ht="15.75" customHeight="1">
      <c r="B307" s="257"/>
    </row>
    <row r="308" ht="15.75" customHeight="1">
      <c r="B308" s="257"/>
    </row>
    <row r="309" ht="15.75" customHeight="1">
      <c r="B309" s="257"/>
    </row>
    <row r="310" ht="15.75" customHeight="1">
      <c r="B310" s="257"/>
    </row>
    <row r="311" ht="15.75" customHeight="1">
      <c r="B311" s="257"/>
    </row>
    <row r="312" ht="15.75" customHeight="1">
      <c r="B312" s="257"/>
    </row>
    <row r="313" ht="15.75" customHeight="1">
      <c r="B313" s="257"/>
    </row>
    <row r="314" ht="15.75" customHeight="1">
      <c r="B314" s="257"/>
    </row>
    <row r="315" ht="15.75" customHeight="1">
      <c r="B315" s="257"/>
    </row>
    <row r="316" ht="15.75" customHeight="1">
      <c r="B316" s="257"/>
    </row>
    <row r="317" ht="15.75" customHeight="1">
      <c r="B317" s="257"/>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3" width="60.29"/>
    <col customWidth="1" min="4" max="4" width="65.71"/>
    <col customWidth="1" min="5" max="5" width="69.71"/>
    <col customWidth="1" min="6" max="6" width="104.43"/>
  </cols>
  <sheetData>
    <row r="1">
      <c r="A1" s="294" t="s">
        <v>316</v>
      </c>
      <c r="B1" s="295" t="s">
        <v>317</v>
      </c>
    </row>
    <row r="4">
      <c r="C4" s="294" t="s">
        <v>318</v>
      </c>
      <c r="D4" s="294" t="s">
        <v>319</v>
      </c>
      <c r="E4" s="294" t="s">
        <v>320</v>
      </c>
      <c r="F4" s="294" t="s">
        <v>321</v>
      </c>
    </row>
    <row r="5">
      <c r="C5" s="257" t="str">
        <f t="shared" ref="C5:C83" si="1">IF($B$1="CA", E5, IF($B$1="ES", D5, F5))</f>
        <v>Nombre del/de la estudiante:</v>
      </c>
      <c r="D5" s="257" t="s">
        <v>322</v>
      </c>
      <c r="E5" s="257" t="s">
        <v>323</v>
      </c>
      <c r="F5" s="61" t="s">
        <v>324</v>
      </c>
    </row>
    <row r="6">
      <c r="C6" s="257" t="str">
        <f t="shared" si="1"/>
        <v>Título del trabajo:</v>
      </c>
      <c r="D6" s="257" t="s">
        <v>325</v>
      </c>
      <c r="E6" s="257" t="s">
        <v>326</v>
      </c>
      <c r="F6" s="61" t="s">
        <v>327</v>
      </c>
    </row>
    <row r="7">
      <c r="C7" s="257" t="str">
        <f t="shared" si="1"/>
        <v>Programa:		</v>
      </c>
      <c r="D7" s="257" t="s">
        <v>328</v>
      </c>
      <c r="E7" s="257" t="s">
        <v>329</v>
      </c>
      <c r="F7" s="61" t="s">
        <v>330</v>
      </c>
    </row>
    <row r="8">
      <c r="C8" s="257" t="str">
        <f t="shared" si="1"/>
        <v>Semestre:</v>
      </c>
      <c r="D8" s="257" t="s">
        <v>331</v>
      </c>
      <c r="E8" s="257" t="s">
        <v>331</v>
      </c>
      <c r="F8" s="61" t="s">
        <v>332</v>
      </c>
    </row>
    <row r="9">
      <c r="C9" s="257" t="str">
        <f t="shared" si="1"/>
        <v>Tutor/a:</v>
      </c>
      <c r="D9" s="257" t="s">
        <v>333</v>
      </c>
      <c r="E9" s="257" t="s">
        <v>333</v>
      </c>
      <c r="F9" s="61" t="s">
        <v>334</v>
      </c>
    </row>
    <row r="10">
      <c r="C10" s="257" t="str">
        <f t="shared" si="1"/>
        <v>Evaluador/a 1:</v>
      </c>
      <c r="D10" s="257" t="s">
        <v>335</v>
      </c>
      <c r="E10" s="257" t="s">
        <v>336</v>
      </c>
      <c r="F10" s="61" t="s">
        <v>337</v>
      </c>
    </row>
    <row r="11">
      <c r="C11" s="257" t="str">
        <f t="shared" si="1"/>
        <v>Evaluador/a 2:</v>
      </c>
      <c r="D11" s="257" t="s">
        <v>338</v>
      </c>
      <c r="E11" s="257" t="s">
        <v>339</v>
      </c>
      <c r="F11" s="61" t="s">
        <v>340</v>
      </c>
    </row>
    <row r="12">
      <c r="C12" s="257" t="str">
        <f t="shared" si="1"/>
        <v>Evaluador/a 3:</v>
      </c>
      <c r="D12" s="257" t="s">
        <v>341</v>
      </c>
      <c r="E12" s="257" t="s">
        <v>342</v>
      </c>
      <c r="F12" s="61" t="s">
        <v>343</v>
      </c>
    </row>
    <row r="13">
      <c r="C13" s="257" t="str">
        <f t="shared" si="1"/>
        <v>Trabajo final - Semestre </v>
      </c>
      <c r="D13" s="257" t="s">
        <v>344</v>
      </c>
      <c r="E13" s="257" t="s">
        <v>345</v>
      </c>
      <c r="F13" s="61" t="s">
        <v>346</v>
      </c>
    </row>
    <row r="14">
      <c r="C14" s="257" t="str">
        <f t="shared" si="1"/>
        <v>Evaluación del tutor/a</v>
      </c>
      <c r="D14" s="257" t="s">
        <v>347</v>
      </c>
      <c r="E14" s="257" t="s">
        <v>348</v>
      </c>
      <c r="F14" s="61" t="s">
        <v>349</v>
      </c>
    </row>
    <row r="15">
      <c r="C15" s="257" t="str">
        <f t="shared" si="1"/>
        <v>Evaluación del tribunal</v>
      </c>
      <c r="D15" s="257" t="s">
        <v>350</v>
      </c>
      <c r="E15" s="257" t="s">
        <v>351</v>
      </c>
      <c r="F15" s="61" t="s">
        <v>352</v>
      </c>
    </row>
    <row r="16">
      <c r="C16" s="257" t="str">
        <f t="shared" si="1"/>
        <v>Evaluación final</v>
      </c>
      <c r="D16" s="257" t="s">
        <v>353</v>
      </c>
      <c r="E16" s="257" t="s">
        <v>354</v>
      </c>
      <c r="F16" s="61" t="s">
        <v>355</v>
      </c>
    </row>
    <row r="17">
      <c r="C17" s="257" t="str">
        <f t="shared" si="1"/>
        <v>Evaluación</v>
      </c>
      <c r="D17" s="257" t="s">
        <v>356</v>
      </c>
      <c r="E17" s="257" t="s">
        <v>357</v>
      </c>
      <c r="F17" s="61" t="s">
        <v>358</v>
      </c>
    </row>
    <row r="18">
      <c r="C18" s="257" t="str">
        <f t="shared" si="1"/>
        <v>Evaluación final del tutor/a</v>
      </c>
      <c r="D18" s="257" t="s">
        <v>359</v>
      </c>
      <c r="E18" s="257" t="s">
        <v>360</v>
      </c>
      <c r="F18" s="61" t="s">
        <v>361</v>
      </c>
    </row>
    <row r="19">
      <c r="C19" s="257" t="str">
        <f t="shared" si="1"/>
        <v>Evaluación final del tribunal</v>
      </c>
      <c r="D19" s="257" t="s">
        <v>362</v>
      </c>
      <c r="E19" s="257" t="s">
        <v>363</v>
      </c>
      <c r="F19" s="61" t="s">
        <v>364</v>
      </c>
    </row>
    <row r="20">
      <c r="C20" s="257" t="str">
        <f t="shared" si="1"/>
        <v>PEC1: 
Propuesta inicial y planificación</v>
      </c>
      <c r="D20" s="257" t="s">
        <v>365</v>
      </c>
      <c r="E20" s="257" t="s">
        <v>366</v>
      </c>
      <c r="F20" s="257" t="s">
        <v>367</v>
      </c>
    </row>
    <row r="21" ht="15.75" customHeight="1">
      <c r="C21" s="257" t="str">
        <f t="shared" si="1"/>
        <v>PEC2:
Desarrollo del proyecto</v>
      </c>
      <c r="D21" s="257" t="s">
        <v>368</v>
      </c>
      <c r="E21" s="257" t="s">
        <v>369</v>
      </c>
      <c r="F21" s="257" t="s">
        <v>370</v>
      </c>
    </row>
    <row r="22" ht="15.75" customHeight="1">
      <c r="C22" s="257" t="str">
        <f t="shared" si="1"/>
        <v>PEC3:
Desarrollo del proyecto</v>
      </c>
      <c r="D22" s="257" t="s">
        <v>371</v>
      </c>
      <c r="E22" s="257" t="s">
        <v>372</v>
      </c>
      <c r="F22" s="257" t="s">
        <v>373</v>
      </c>
    </row>
    <row r="23" ht="15.75" customHeight="1">
      <c r="C23" s="257" t="str">
        <f t="shared" si="1"/>
        <v>PEC 4:
Entrega final</v>
      </c>
      <c r="D23" s="257" t="s">
        <v>374</v>
      </c>
      <c r="E23" s="257" t="s">
        <v>375</v>
      </c>
      <c r="F23" s="61" t="s">
        <v>376</v>
      </c>
    </row>
    <row r="24" ht="15.75" customHeight="1">
      <c r="C24" s="257" t="str">
        <f t="shared" si="1"/>
        <v>Notas finales de la evaluación del tutor/a</v>
      </c>
      <c r="D24" s="257" t="s">
        <v>377</v>
      </c>
      <c r="E24" s="257" t="s">
        <v>378</v>
      </c>
      <c r="F24" s="61" t="s">
        <v>379</v>
      </c>
    </row>
    <row r="25" ht="15.75" customHeight="1">
      <c r="C25" s="257" t="str">
        <f t="shared" si="1"/>
        <v>Peso</v>
      </c>
      <c r="D25" s="257" t="s">
        <v>380</v>
      </c>
      <c r="E25" s="257" t="s">
        <v>381</v>
      </c>
      <c r="F25" s="61" t="s">
        <v>382</v>
      </c>
    </row>
    <row r="26" ht="15.75" customHeight="1">
      <c r="C26" s="257" t="str">
        <f t="shared" si="1"/>
        <v>Nota</v>
      </c>
      <c r="D26" s="257" t="s">
        <v>7</v>
      </c>
      <c r="E26" s="257" t="s">
        <v>7</v>
      </c>
      <c r="F26" s="61" t="s">
        <v>358</v>
      </c>
    </row>
    <row r="27" ht="15.75" customHeight="1">
      <c r="C27" s="257" t="str">
        <f t="shared" si="1"/>
        <v>Final</v>
      </c>
      <c r="D27" s="257" t="s">
        <v>8</v>
      </c>
      <c r="E27" s="257" t="s">
        <v>8</v>
      </c>
      <c r="F27" s="61" t="s">
        <v>8</v>
      </c>
    </row>
    <row r="28" ht="15.75" customHeight="1">
      <c r="C28" s="257" t="str">
        <f t="shared" si="1"/>
        <v>Nota media</v>
      </c>
      <c r="D28" s="257" t="s">
        <v>383</v>
      </c>
      <c r="E28" s="257" t="s">
        <v>384</v>
      </c>
      <c r="F28" s="61" t="s">
        <v>385</v>
      </c>
    </row>
    <row r="29" ht="15.75" customHeight="1">
      <c r="C29" s="257" t="str">
        <f t="shared" si="1"/>
        <v>Actitud del/de la estudiante</v>
      </c>
      <c r="D29" s="257" t="s">
        <v>10</v>
      </c>
      <c r="E29" s="257" t="s">
        <v>11</v>
      </c>
      <c r="F29" s="61" t="s">
        <v>12</v>
      </c>
    </row>
    <row r="30" ht="15.75" customHeight="1">
      <c r="C30" s="257" t="str">
        <f t="shared" si="1"/>
        <v>Grado de autonomía, creatividad, iniciativa, receptividad a la crítica, y buena comunicación con el tutor/a</v>
      </c>
      <c r="D30" s="257" t="s">
        <v>386</v>
      </c>
      <c r="E30" s="257" t="s">
        <v>14</v>
      </c>
      <c r="F30" s="61" t="s">
        <v>15</v>
      </c>
    </row>
    <row r="31" ht="15.75" customHeight="1">
      <c r="C31" s="257" t="str">
        <f t="shared" si="1"/>
        <v>Aspectos metodológicos</v>
      </c>
      <c r="D31" s="257" t="s">
        <v>31</v>
      </c>
      <c r="E31" s="257" t="s">
        <v>32</v>
      </c>
      <c r="F31" s="61" t="s">
        <v>33</v>
      </c>
    </row>
    <row r="32" ht="15.75" customHeight="1">
      <c r="C32" s="257" t="str">
        <f t="shared" si="1"/>
        <v>Definición de unos objetivos claros, concretos, realistas y adecuados</v>
      </c>
      <c r="D32" s="257" t="s">
        <v>34</v>
      </c>
      <c r="E32" s="257" t="s">
        <v>35</v>
      </c>
      <c r="F32" s="61" t="s">
        <v>36</v>
      </c>
    </row>
    <row r="33" ht="15.75" customHeight="1">
      <c r="C33" s="257" t="str">
        <f t="shared" si="1"/>
        <v>Definición de la metodología, planificación temporal y de recursos</v>
      </c>
      <c r="D33" s="257" t="s">
        <v>52</v>
      </c>
      <c r="E33" s="257" t="s">
        <v>53</v>
      </c>
      <c r="F33" s="61" t="s">
        <v>54</v>
      </c>
    </row>
    <row r="34" ht="15.75" customHeight="1">
      <c r="C34" s="257" t="str">
        <f t="shared" si="1"/>
        <v>Especificación y diseño</v>
      </c>
      <c r="D34" s="257" t="s">
        <v>70</v>
      </c>
      <c r="E34" s="257" t="s">
        <v>71</v>
      </c>
      <c r="F34" s="61" t="s">
        <v>72</v>
      </c>
    </row>
    <row r="35" ht="15.75" customHeight="1">
      <c r="C35" s="257" t="str">
        <f t="shared" si="1"/>
        <v>Estudio previo e identificación de los aspectos relevantes del problema y de su solución (e.g. estado del arte, estudio de mercado)</v>
      </c>
      <c r="D35" s="257" t="s">
        <v>73</v>
      </c>
      <c r="E35" s="257" t="s">
        <v>74</v>
      </c>
      <c r="F35" s="61" t="s">
        <v>75</v>
      </c>
    </row>
    <row r="36" ht="15.75" customHeight="1">
      <c r="C36" s="257" t="str">
        <f t="shared" si="1"/>
        <v>Análisis de requerimientos</v>
      </c>
      <c r="D36" s="257" t="s">
        <v>91</v>
      </c>
      <c r="E36" s="257" t="s">
        <v>92</v>
      </c>
      <c r="F36" s="61" t="s">
        <v>93</v>
      </c>
    </row>
    <row r="37" ht="15.75" customHeight="1">
      <c r="C37" s="257" t="str">
        <f t="shared" si="1"/>
        <v>Diseño adecuado de la propuesta</v>
      </c>
      <c r="D37" s="257" t="s">
        <v>109</v>
      </c>
      <c r="E37" s="257" t="s">
        <v>110</v>
      </c>
      <c r="F37" s="61" t="s">
        <v>111</v>
      </c>
    </row>
    <row r="38" ht="15.75" customHeight="1">
      <c r="C38" s="257" t="str">
        <f t="shared" si="1"/>
        <v>Elección de herramientas, tecnologías y fuentes de información adecuadas para el desarrollo del trabajo</v>
      </c>
      <c r="D38" s="257" t="s">
        <v>127</v>
      </c>
      <c r="E38" s="257" t="s">
        <v>128</v>
      </c>
      <c r="F38" s="61" t="s">
        <v>129</v>
      </c>
    </row>
    <row r="39" ht="15.75" customHeight="1">
      <c r="C39" s="257" t="str">
        <f t="shared" si="1"/>
        <v>Grado de análisis y tratamiento del impacto ético-social, de sostenibilidad y de diversidad del trabajo</v>
      </c>
      <c r="D39" s="257" t="s">
        <v>145</v>
      </c>
      <c r="E39" s="257" t="s">
        <v>146</v>
      </c>
      <c r="F39" s="61" t="s">
        <v>147</v>
      </c>
    </row>
    <row r="40" ht="15.75" customHeight="1">
      <c r="C40" s="257" t="str">
        <f t="shared" si="1"/>
        <v>Ejecución e implementación del proyecto</v>
      </c>
      <c r="D40" s="257" t="s">
        <v>163</v>
      </c>
      <c r="E40" s="257" t="s">
        <v>164</v>
      </c>
      <c r="F40" s="61" t="s">
        <v>165</v>
      </c>
    </row>
    <row r="41" ht="15.75" customHeight="1">
      <c r="C41" s="257" t="str">
        <f t="shared" si="1"/>
        <v>Seguimiento de la planificación y capacidad de adaptación</v>
      </c>
      <c r="D41" s="257" t="s">
        <v>166</v>
      </c>
      <c r="E41" s="257" t="s">
        <v>167</v>
      </c>
      <c r="F41" s="61" t="s">
        <v>168</v>
      </c>
    </row>
    <row r="42" ht="15.75" customHeight="1">
      <c r="C42" s="257" t="str">
        <f t="shared" si="1"/>
        <v>Calidad de la contribución técnica y/o científica del proyecto. Calidad de la solución/producto en desarrollo/obtenido</v>
      </c>
      <c r="D42" s="257" t="s">
        <v>387</v>
      </c>
      <c r="E42" s="257" t="s">
        <v>185</v>
      </c>
      <c r="F42" s="61" t="s">
        <v>186</v>
      </c>
    </row>
    <row r="43" ht="15.75" customHeight="1">
      <c r="C43" s="257" t="str">
        <f t="shared" si="1"/>
        <v>Grado de innovación de la solución presentada</v>
      </c>
      <c r="D43" s="257" t="s">
        <v>202</v>
      </c>
      <c r="E43" s="257" t="s">
        <v>203</v>
      </c>
      <c r="F43" s="61" t="s">
        <v>204</v>
      </c>
    </row>
    <row r="44" ht="15.75" customHeight="1">
      <c r="C44" s="257" t="str">
        <f t="shared" si="1"/>
        <v>Conclusiones y discusión de los resultados</v>
      </c>
      <c r="D44" s="257" t="s">
        <v>220</v>
      </c>
      <c r="E44" s="257" t="s">
        <v>221</v>
      </c>
      <c r="F44" s="61" t="s">
        <v>222</v>
      </c>
    </row>
    <row r="45" ht="15.75" customHeight="1">
      <c r="C45" s="257" t="str">
        <f t="shared" si="1"/>
        <v>Aspectos formales de la memoria</v>
      </c>
      <c r="D45" s="257" t="s">
        <v>238</v>
      </c>
      <c r="E45" s="257" t="s">
        <v>239</v>
      </c>
      <c r="F45" s="61" t="s">
        <v>240</v>
      </c>
    </row>
    <row r="46" ht="15.75" customHeight="1">
      <c r="C46" s="257" t="str">
        <f t="shared" si="1"/>
        <v>Redacción adecuada, utilización flexible de un lenguaje inclusivo, y organización clara y correcta del contenido</v>
      </c>
      <c r="D46" s="257" t="s">
        <v>241</v>
      </c>
      <c r="E46" s="257" t="s">
        <v>242</v>
      </c>
      <c r="F46" s="61" t="s">
        <v>388</v>
      </c>
    </row>
    <row r="47" ht="15.75" customHeight="1">
      <c r="C47" s="257" t="str">
        <f t="shared" si="1"/>
        <v>Fuentes de información y referencias bibliográficas</v>
      </c>
      <c r="D47" s="257" t="s">
        <v>259</v>
      </c>
      <c r="E47" s="257" t="s">
        <v>260</v>
      </c>
      <c r="F47" s="61" t="s">
        <v>261</v>
      </c>
    </row>
    <row r="48" ht="15.75" customHeight="1">
      <c r="C48" s="257" t="str">
        <f t="shared" si="1"/>
        <v>Defensa del proyecto</v>
      </c>
      <c r="D48" s="257" t="s">
        <v>277</v>
      </c>
      <c r="E48" s="257" t="s">
        <v>278</v>
      </c>
      <c r="F48" s="61" t="s">
        <v>279</v>
      </c>
    </row>
    <row r="49" ht="15.75" customHeight="1">
      <c r="C49" s="257" t="str">
        <f t="shared" si="1"/>
        <v>Calidad de la presentación oral y de los recursos visuales</v>
      </c>
      <c r="D49" s="257" t="s">
        <v>280</v>
      </c>
      <c r="E49" s="257" t="s">
        <v>281</v>
      </c>
      <c r="F49" s="61" t="s">
        <v>282</v>
      </c>
    </row>
    <row r="50" ht="15.75" customHeight="1">
      <c r="C50" s="257" t="str">
        <f t="shared" si="1"/>
        <v>Respuesta clara y fundamentada a las preguntas de la comisión</v>
      </c>
      <c r="D50" s="257" t="s">
        <v>389</v>
      </c>
      <c r="E50" s="257" t="s">
        <v>299</v>
      </c>
      <c r="F50" s="61" t="s">
        <v>300</v>
      </c>
    </row>
    <row r="51" ht="15.75" customHeight="1">
      <c r="C51" s="257" t="str">
        <f t="shared" si="1"/>
        <v>% PEC en nota final del tutor</v>
      </c>
      <c r="D51" s="257" t="s">
        <v>390</v>
      </c>
      <c r="E51" s="257" t="s">
        <v>391</v>
      </c>
      <c r="F51" s="61" t="s">
        <v>392</v>
      </c>
    </row>
    <row r="52" ht="15.75" customHeight="1">
      <c r="C52" s="257" t="str">
        <f t="shared" si="1"/>
        <v>Presentación</v>
      </c>
      <c r="D52" s="257" t="s">
        <v>393</v>
      </c>
      <c r="E52" s="257" t="s">
        <v>394</v>
      </c>
      <c r="F52" s="61" t="s">
        <v>395</v>
      </c>
    </row>
    <row r="53" ht="15.75" customHeight="1">
      <c r="C53" s="257" t="str">
        <f t="shared" si="1"/>
        <v>Defensa</v>
      </c>
      <c r="D53" s="257" t="s">
        <v>396</v>
      </c>
      <c r="E53" s="257" t="s">
        <v>396</v>
      </c>
      <c r="F53" s="61" t="s">
        <v>279</v>
      </c>
    </row>
    <row r="54" ht="15.75" customHeight="1">
      <c r="C54" s="257" t="str">
        <f t="shared" si="1"/>
        <v>PEC1. Observaciones y recomendaciones:</v>
      </c>
      <c r="D54" s="257" t="s">
        <v>397</v>
      </c>
      <c r="E54" s="257" t="s">
        <v>398</v>
      </c>
      <c r="F54" s="61" t="s">
        <v>399</v>
      </c>
    </row>
    <row r="55" ht="15.75" customHeight="1">
      <c r="C55" s="257" t="str">
        <f t="shared" si="1"/>
        <v>PEC2. Observaciones y recomendaciones:</v>
      </c>
      <c r="D55" s="257" t="s">
        <v>400</v>
      </c>
      <c r="E55" s="257" t="s">
        <v>401</v>
      </c>
      <c r="F55" s="61" t="s">
        <v>402</v>
      </c>
    </row>
    <row r="56" ht="15.75" customHeight="1">
      <c r="C56" s="257" t="str">
        <f t="shared" si="1"/>
        <v>PEC3. Observaciones y recomendaciones:</v>
      </c>
      <c r="D56" s="257" t="s">
        <v>403</v>
      </c>
      <c r="E56" s="257" t="s">
        <v>404</v>
      </c>
      <c r="F56" s="61" t="s">
        <v>405</v>
      </c>
    </row>
    <row r="57" ht="15.75" customHeight="1">
      <c r="C57" s="257" t="str">
        <f t="shared" si="1"/>
        <v>PEC4. Observaciones y recomendaciones:</v>
      </c>
      <c r="D57" s="257" t="s">
        <v>406</v>
      </c>
      <c r="E57" s="257" t="s">
        <v>407</v>
      </c>
      <c r="F57" s="61" t="s">
        <v>408</v>
      </c>
    </row>
    <row r="58" ht="15.75" customHeight="1">
      <c r="C58" s="257" t="str">
        <f t="shared" si="1"/>
        <v>PEC5. Observaciones y recomendaciones:</v>
      </c>
      <c r="D58" s="257" t="s">
        <v>409</v>
      </c>
      <c r="E58" s="257" t="s">
        <v>410</v>
      </c>
      <c r="F58" s="61" t="s">
        <v>411</v>
      </c>
    </row>
    <row r="59" ht="15.75" customHeight="1">
      <c r="C59" s="257" t="str">
        <f t="shared" si="1"/>
        <v>Observaciones y recomendaciones:</v>
      </c>
      <c r="D59" s="257" t="s">
        <v>412</v>
      </c>
      <c r="E59" s="257" t="s">
        <v>413</v>
      </c>
      <c r="F59" s="61" t="s">
        <v>414</v>
      </c>
    </row>
    <row r="60" ht="15.75" customHeight="1">
      <c r="C60" s="257" t="str">
        <f t="shared" si="1"/>
        <v>Evaluación del Evaluador/a 1</v>
      </c>
      <c r="D60" s="257" t="s">
        <v>415</v>
      </c>
      <c r="E60" s="257" t="s">
        <v>416</v>
      </c>
      <c r="F60" s="61" t="s">
        <v>417</v>
      </c>
    </row>
    <row r="61" ht="15.75" customHeight="1">
      <c r="C61" s="257" t="str">
        <f t="shared" si="1"/>
        <v>Evaluación del Evaluador/a 2</v>
      </c>
      <c r="D61" s="257" t="s">
        <v>418</v>
      </c>
      <c r="E61" s="257" t="s">
        <v>419</v>
      </c>
      <c r="F61" s="61" t="s">
        <v>420</v>
      </c>
    </row>
    <row r="62" ht="15.75" customHeight="1">
      <c r="C62" s="257" t="str">
        <f t="shared" si="1"/>
        <v>Evaluación del Evaluador/a 3</v>
      </c>
      <c r="D62" s="257" t="s">
        <v>421</v>
      </c>
      <c r="E62" s="257" t="s">
        <v>422</v>
      </c>
      <c r="F62" s="61" t="s">
        <v>423</v>
      </c>
    </row>
    <row r="63" ht="15.75" customHeight="1">
      <c r="C63" s="257" t="str">
        <f t="shared" si="1"/>
        <v>Entrega final y defensa</v>
      </c>
      <c r="D63" s="257" t="s">
        <v>424</v>
      </c>
      <c r="E63" s="257" t="s">
        <v>425</v>
      </c>
      <c r="F63" s="61" t="s">
        <v>426</v>
      </c>
    </row>
    <row r="64" ht="15.75" customHeight="1">
      <c r="C64" s="257" t="str">
        <f t="shared" si="1"/>
        <v>Marca esta casilla si crees que este trabajo merece ser considerado para matrícula de honor</v>
      </c>
      <c r="D64" s="257" t="s">
        <v>427</v>
      </c>
      <c r="E64" s="257" t="s">
        <v>428</v>
      </c>
      <c r="F64" s="61" t="s">
        <v>429</v>
      </c>
    </row>
    <row r="65" ht="15.75" customHeight="1">
      <c r="C65" s="257" t="str">
        <f t="shared" si="1"/>
        <v>Trabajo propuesto para matrícula de honor</v>
      </c>
      <c r="D65" s="257" t="s">
        <v>430</v>
      </c>
      <c r="E65" s="257" t="s">
        <v>431</v>
      </c>
      <c r="F65" s="61" t="s">
        <v>432</v>
      </c>
    </row>
    <row r="66" ht="15.75" customHeight="1">
      <c r="C66" s="257" t="str">
        <f t="shared" si="1"/>
        <v>Nombre evaluadores/as:</v>
      </c>
      <c r="D66" s="257" t="s">
        <v>433</v>
      </c>
      <c r="E66" s="257" t="s">
        <v>434</v>
      </c>
      <c r="F66" s="61" t="s">
        <v>435</v>
      </c>
    </row>
    <row r="67" ht="15.75" customHeight="1">
      <c r="C67" s="257" t="str">
        <f t="shared" si="1"/>
        <v>Participación evaluador/a (0: no participa; 1: participa)</v>
      </c>
      <c r="D67" s="257" t="s">
        <v>436</v>
      </c>
      <c r="E67" s="257" t="s">
        <v>437</v>
      </c>
      <c r="F67" s="61" t="s">
        <v>438</v>
      </c>
    </row>
    <row r="68" ht="15.75" customHeight="1">
      <c r="C68" s="257" t="str">
        <f t="shared" si="1"/>
        <v>Evaluador/a 1. Observaciones y recomendaciones:</v>
      </c>
      <c r="D68" s="257" t="s">
        <v>439</v>
      </c>
      <c r="E68" s="257" t="s">
        <v>440</v>
      </c>
      <c r="F68" s="61" t="s">
        <v>441</v>
      </c>
    </row>
    <row r="69" ht="15.75" customHeight="1">
      <c r="C69" s="257" t="str">
        <f t="shared" si="1"/>
        <v>Evaluador/a 2. Observaciones y recomendaciones:</v>
      </c>
      <c r="D69" s="257" t="s">
        <v>442</v>
      </c>
      <c r="E69" s="257" t="s">
        <v>443</v>
      </c>
      <c r="F69" s="61" t="s">
        <v>444</v>
      </c>
    </row>
    <row r="70" ht="15.75" customHeight="1">
      <c r="C70" s="257" t="str">
        <f t="shared" si="1"/>
        <v>Evaluador/a 3. Observaciones y recomendaciones:</v>
      </c>
      <c r="D70" s="257" t="s">
        <v>445</v>
      </c>
      <c r="E70" s="257" t="s">
        <v>446</v>
      </c>
      <c r="F70" s="61" t="s">
        <v>447</v>
      </c>
    </row>
    <row r="71" ht="15.75" customHeight="1">
      <c r="C71" s="257" t="str">
        <f t="shared" si="1"/>
        <v>Tribunal de evaluación</v>
      </c>
      <c r="D71" s="257" t="s">
        <v>448</v>
      </c>
      <c r="E71" s="257" t="s">
        <v>449</v>
      </c>
      <c r="F71" s="61" t="s">
        <v>450</v>
      </c>
    </row>
    <row r="72" ht="15.75" customHeight="1">
      <c r="C72" s="257" t="str">
        <f t="shared" si="1"/>
        <v>Nota numérica</v>
      </c>
      <c r="D72" s="257" t="s">
        <v>451</v>
      </c>
      <c r="E72" s="257" t="s">
        <v>452</v>
      </c>
      <c r="F72" s="61" t="s">
        <v>453</v>
      </c>
    </row>
    <row r="73" ht="15.75" customHeight="1">
      <c r="C73" s="257" t="str">
        <f t="shared" si="1"/>
        <v>Nota categórica</v>
      </c>
      <c r="D73" s="257" t="s">
        <v>454</v>
      </c>
      <c r="E73" s="257" t="s">
        <v>455</v>
      </c>
      <c r="F73" s="61" t="s">
        <v>456</v>
      </c>
    </row>
    <row r="74" ht="15.75" customHeight="1">
      <c r="C74" s="257" t="str">
        <f t="shared" si="1"/>
        <v>Informe de evaluación final del Trabajo Final - Semestre </v>
      </c>
      <c r="D74" s="257" t="s">
        <v>457</v>
      </c>
      <c r="E74" s="257" t="s">
        <v>458</v>
      </c>
      <c r="F74" s="61" t="s">
        <v>459</v>
      </c>
    </row>
    <row r="75" ht="15.75" customHeight="1">
      <c r="C75" s="257" t="str">
        <f t="shared" si="1"/>
        <v>% peso nota final</v>
      </c>
      <c r="D75" s="257" t="s">
        <v>460</v>
      </c>
      <c r="E75" s="257" t="s">
        <v>461</v>
      </c>
      <c r="F75" s="61" t="s">
        <v>462</v>
      </c>
    </row>
    <row r="76" ht="15.75" customHeight="1">
      <c r="C76" s="257" t="str">
        <f t="shared" si="1"/>
        <v/>
      </c>
      <c r="D76" s="257"/>
      <c r="E76" s="257"/>
    </row>
    <row r="77" ht="15.75" customHeight="1">
      <c r="C77" s="257" t="str">
        <f t="shared" si="1"/>
        <v/>
      </c>
      <c r="D77" s="257"/>
      <c r="E77" s="257"/>
    </row>
    <row r="78" ht="15.75" customHeight="1">
      <c r="C78" s="257" t="str">
        <f t="shared" si="1"/>
        <v/>
      </c>
      <c r="D78" s="257"/>
      <c r="E78" s="257"/>
    </row>
    <row r="79" ht="15.75" customHeight="1">
      <c r="C79" s="257" t="str">
        <f t="shared" si="1"/>
        <v/>
      </c>
      <c r="D79" s="257"/>
      <c r="E79" s="257"/>
    </row>
    <row r="80" ht="15.75" customHeight="1">
      <c r="C80" s="257" t="str">
        <f t="shared" si="1"/>
        <v/>
      </c>
      <c r="D80" s="257"/>
      <c r="E80" s="257"/>
    </row>
    <row r="81" ht="15.75" customHeight="1">
      <c r="C81" s="257" t="str">
        <f t="shared" si="1"/>
        <v/>
      </c>
      <c r="D81" s="257"/>
      <c r="E81" s="257"/>
    </row>
    <row r="82" ht="15.75" customHeight="1">
      <c r="C82" s="257" t="str">
        <f t="shared" si="1"/>
        <v/>
      </c>
      <c r="D82" s="257"/>
      <c r="E82" s="257"/>
    </row>
    <row r="83" ht="15.75" customHeight="1">
      <c r="C83" s="257" t="str">
        <f t="shared" si="1"/>
        <v/>
      </c>
      <c r="D83" s="257"/>
      <c r="E83" s="257"/>
    </row>
    <row r="84" ht="15.75" customHeight="1">
      <c r="C84" s="257" t="str">
        <f t="shared" ref="C84:C87" si="2">IF($B$1="CA", E84, D84)</f>
        <v/>
      </c>
      <c r="D84" s="257"/>
      <c r="E84" s="257"/>
    </row>
    <row r="85" ht="15.75" customHeight="1">
      <c r="C85" s="257" t="str">
        <f t="shared" si="2"/>
        <v/>
      </c>
      <c r="D85" s="257"/>
      <c r="E85" s="257"/>
    </row>
    <row r="86" ht="15.75" customHeight="1">
      <c r="C86" s="257" t="str">
        <f t="shared" si="2"/>
        <v/>
      </c>
      <c r="D86" s="257"/>
      <c r="E86" s="257"/>
    </row>
    <row r="87" ht="15.75" customHeight="1">
      <c r="C87" s="257" t="str">
        <f t="shared" si="2"/>
        <v/>
      </c>
      <c r="D87" s="257"/>
      <c r="E87" s="257"/>
    </row>
    <row r="88" ht="15.75" customHeight="1">
      <c r="C88" s="257"/>
      <c r="D88" s="257"/>
      <c r="E88" s="257"/>
    </row>
    <row r="89" ht="15.75" customHeight="1">
      <c r="C89" s="257"/>
      <c r="D89" s="257"/>
      <c r="E89" s="257"/>
    </row>
    <row r="90" ht="15.75" customHeight="1">
      <c r="C90" s="257"/>
      <c r="D90" s="257"/>
      <c r="E90" s="257"/>
    </row>
    <row r="91" ht="15.75" customHeight="1">
      <c r="C91" s="257"/>
      <c r="D91" s="257"/>
      <c r="E91" s="257"/>
    </row>
    <row r="92" ht="15.75" customHeight="1">
      <c r="C92" s="257"/>
      <c r="D92" s="257"/>
      <c r="E92" s="257"/>
    </row>
    <row r="93" ht="15.75" customHeight="1">
      <c r="C93" s="257"/>
      <c r="D93" s="257"/>
      <c r="E93" s="257"/>
    </row>
    <row r="94" ht="15.75" customHeight="1">
      <c r="C94" s="257"/>
      <c r="D94" s="257"/>
      <c r="E94" s="257"/>
    </row>
    <row r="95" ht="15.75" customHeight="1">
      <c r="C95" s="257"/>
      <c r="D95" s="257"/>
      <c r="E95" s="257"/>
    </row>
    <row r="96" ht="15.75" customHeight="1">
      <c r="C96" s="257"/>
      <c r="D96" s="257"/>
      <c r="E96" s="257"/>
    </row>
    <row r="97" ht="15.75" customHeight="1">
      <c r="C97" s="257"/>
      <c r="D97" s="257"/>
      <c r="E97" s="257"/>
    </row>
    <row r="98" ht="15.75" customHeight="1">
      <c r="C98" s="257"/>
      <c r="D98" s="257"/>
      <c r="E98" s="257"/>
    </row>
    <row r="99" ht="15.75" customHeight="1">
      <c r="C99" s="257"/>
      <c r="D99" s="257"/>
      <c r="E99" s="257"/>
    </row>
    <row r="100" ht="15.75" customHeight="1">
      <c r="C100" s="257"/>
      <c r="D100" s="257"/>
      <c r="E100" s="257"/>
    </row>
    <row r="101" ht="15.75" customHeight="1">
      <c r="C101" s="257"/>
      <c r="D101" s="257"/>
      <c r="E101" s="257"/>
    </row>
    <row r="102" ht="15.75" customHeight="1">
      <c r="C102" s="257"/>
      <c r="D102" s="257"/>
      <c r="E102" s="257"/>
    </row>
    <row r="103" ht="15.75" customHeight="1">
      <c r="C103" s="257"/>
      <c r="D103" s="257"/>
      <c r="E103" s="257"/>
    </row>
    <row r="104" ht="15.75" customHeight="1">
      <c r="C104" s="257"/>
      <c r="D104" s="257"/>
      <c r="E104" s="257"/>
    </row>
    <row r="105" ht="15.75" customHeight="1">
      <c r="C105" s="257"/>
      <c r="D105" s="257"/>
      <c r="E105" s="257"/>
    </row>
    <row r="106" ht="15.75" customHeight="1">
      <c r="C106" s="257"/>
      <c r="D106" s="257"/>
      <c r="E106" s="257"/>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1">
      <formula1>"CA,ES,EN"</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